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3" activeTab="10" autoFilterDateGrouping="1"/>
  </bookViews>
  <sheets>
    <sheet name="Financials&gt;" sheetId="1" state="visible" r:id="rId1"/>
    <sheet name="HistoricalFS" sheetId="2" state="visible" r:id="rId2"/>
    <sheet name="Ratio Analysis" sheetId="3" state="visible" r:id="rId3"/>
    <sheet name="Forcasting" sheetId="4" state="visible" r:id="rId4"/>
    <sheet name="Data&gt;" sheetId="5" state="visible" r:id="rId5"/>
    <sheet name="Data Sheet 1" sheetId="6" state="visible" r:id="rId6"/>
    <sheet name="Data Sheet" sheetId="7" state="visible" r:id="rId7"/>
    <sheet name="Cash flow Data" sheetId="8" state="visible" r:id="rId8"/>
    <sheet name="Python Output" sheetId="9" state="visible" r:id="rId9"/>
    <sheet name="Python Summary" sheetId="10" state="visible" r:id="rId10"/>
    <sheet name="Sheet1" sheetId="11" state="visible" r:id="rId1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UPDATE">'Data Sheet 1'!$E$1</definedName>
  </definedNames>
  <calcPr calcId="191029" fullCalcOnLoad="1" iterate="1"/>
</workbook>
</file>

<file path=xl/styles.xml><?xml version="1.0" encoding="utf-8"?>
<styleSheet xmlns="http://schemas.openxmlformats.org/spreadsheetml/2006/main">
  <numFmts count="10">
    <numFmt numFmtId="164" formatCode="_ * #,##0.00_ ;_ * \-#,##0.00_ ;_ * &quot;-&quot;??_ ;_ @_ "/>
    <numFmt numFmtId="165" formatCode="[$-409]mmm\-yy;@"/>
    <numFmt numFmtId="166" formatCode="0.00&quot;x&quot;"/>
    <numFmt numFmtId="167" formatCode="0\ "/>
    <numFmt numFmtId="168" formatCode="yyyy"/>
    <numFmt numFmtId="169" formatCode="yyyy&quot;A&quot;"/>
    <numFmt numFmtId="170" formatCode="[$₹-439]#,##0.0"/>
    <numFmt numFmtId="171" formatCode="\₹#,##0.0;\₹\(#,##0.0\);\-"/>
    <numFmt numFmtId="172" formatCode="#,##0.0"/>
    <numFmt numFmtId="173" formatCode="yyyy&quot;E&quot;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i val="1"/>
      <color theme="1"/>
      <sz val="11"/>
      <scheme val="minor"/>
    </font>
    <font>
      <name val="Calibri"/>
      <family val="2"/>
      <i val="1"/>
      <color theme="0" tint="-0.499984740745262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Arial"/>
      <family val="2"/>
      <color rgb="FF22222F"/>
      <sz val="11"/>
    </font>
    <font>
      <name val="Calibri"/>
      <family val="2"/>
      <color rgb="FF22222F"/>
      <sz val="11"/>
      <scheme val="minor"/>
    </font>
    <font>
      <name val="Calibri"/>
      <family val="2"/>
      <b val="1"/>
      <color rgb="FF22222F"/>
      <sz val="11"/>
      <scheme val="minor"/>
    </font>
    <font>
      <name val="Calibri"/>
      <family val="2"/>
      <b val="1"/>
      <color theme="0"/>
      <sz val="11"/>
    </font>
    <font>
      <name val="Calibri"/>
      <family val="2"/>
      <b val="1"/>
      <color theme="1"/>
      <sz val="20"/>
      <scheme val="minor"/>
    </font>
  </fonts>
  <fills count="9">
    <fill>
      <patternFill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theme="8" tint="-0.499984740745262"/>
      </top>
      <bottom/>
      <diagonal/>
    </border>
    <border>
      <left/>
      <right/>
      <top/>
      <bottom style="hair">
        <color theme="8" tint="-0.499984740745262"/>
      </bottom>
      <diagonal/>
    </border>
  </borders>
  <cellStyleXfs count="5">
    <xf numFmtId="0" fontId="1" fillId="0" borderId="0"/>
    <xf numFmtId="164" fontId="1" fillId="0" borderId="0"/>
    <xf numFmtId="0" fontId="5" fillId="3" borderId="0"/>
    <xf numFmtId="0" fontId="6" fillId="0" borderId="0" applyAlignment="1" applyProtection="1">
      <alignment vertical="top"/>
      <protection locked="0" hidden="0"/>
    </xf>
    <xf numFmtId="9" fontId="1" fillId="0" borderId="0"/>
  </cellStyleXfs>
  <cellXfs count="93">
    <xf numFmtId="0" fontId="0" fillId="0" borderId="0" pivotButton="0" quotePrefix="0" xfId="0"/>
    <xf numFmtId="43" fontId="0" fillId="0" borderId="0" pivotButton="0" quotePrefix="0" xfId="1"/>
    <xf numFmtId="164" fontId="3" fillId="0" borderId="0" pivotButton="0" quotePrefix="0" xfId="1"/>
    <xf numFmtId="165" fontId="4" fillId="0" borderId="0" pivotButton="0" quotePrefix="0" xfId="1"/>
    <xf numFmtId="165" fontId="2" fillId="4" borderId="0" pivotButton="0" quotePrefix="0" xfId="1"/>
    <xf numFmtId="0" fontId="5" fillId="2" borderId="0" pivotButton="0" quotePrefix="0" xfId="0"/>
    <xf numFmtId="17" fontId="5" fillId="2" borderId="0" pivotButton="0" quotePrefix="0" xfId="0"/>
    <xf numFmtId="17" fontId="5" fillId="2" borderId="0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right"/>
    </xf>
    <xf numFmtId="10" fontId="8" fillId="0" borderId="0" pivotButton="0" quotePrefix="0" xfId="4"/>
    <xf numFmtId="0" fontId="5" fillId="5" borderId="0" pivotButton="0" quotePrefix="0" xfId="0"/>
    <xf numFmtId="17" fontId="5" fillId="5" borderId="0" pivotButton="0" quotePrefix="0" xfId="0"/>
    <xf numFmtId="17" fontId="5" fillId="5" borderId="0" applyAlignment="1" pivotButton="0" quotePrefix="0" xfId="0">
      <alignment horizontal="right"/>
    </xf>
    <xf numFmtId="0" fontId="3" fillId="6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0" fillId="7" borderId="0" pivotButton="0" quotePrefix="0" xfId="0"/>
    <xf numFmtId="17" fontId="10" fillId="7" borderId="0" applyAlignment="1" pivotButton="0" quotePrefix="0" xfId="0">
      <alignment horizontal="right" vertical="center" wrapText="1"/>
    </xf>
    <xf numFmtId="0" fontId="0" fillId="5" borderId="0" pivotButton="0" quotePrefix="0" xfId="0"/>
    <xf numFmtId="0" fontId="0" fillId="6" borderId="0" pivotButton="0" quotePrefix="0" xfId="0"/>
    <xf numFmtId="0" fontId="11" fillId="7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pivotButton="0" quotePrefix="0" xfId="0"/>
    <xf numFmtId="0" fontId="0" fillId="0" borderId="2" pivotButton="0" quotePrefix="0" xfId="0"/>
    <xf numFmtId="10" fontId="0" fillId="0" borderId="2" pivotButton="0" quotePrefix="0" xfId="4"/>
    <xf numFmtId="0" fontId="0" fillId="0" borderId="0" pivotButton="0" quotePrefix="0" xfId="0"/>
    <xf numFmtId="10" fontId="0" fillId="0" borderId="0" pivotButton="0" quotePrefix="0" xfId="4"/>
    <xf numFmtId="0" fontId="0" fillId="0" borderId="3" pivotButton="0" quotePrefix="0" xfId="0"/>
    <xf numFmtId="10" fontId="0" fillId="0" borderId="3" pivotButton="0" quotePrefix="0" xfId="4"/>
    <xf numFmtId="10" fontId="0" fillId="0" borderId="3" pivotButton="0" quotePrefix="0" xfId="0"/>
    <xf numFmtId="166" fontId="0" fillId="0" borderId="3" pivotButton="0" quotePrefix="0" xfId="0"/>
    <xf numFmtId="166" fontId="0" fillId="0" borderId="2" pivotButton="0" quotePrefix="0" xfId="0"/>
    <xf numFmtId="166" fontId="0" fillId="0" borderId="0" pivotButton="0" quotePrefix="0" xfId="0"/>
    <xf numFmtId="167" fontId="0" fillId="0" borderId="2" pivotButton="0" quotePrefix="0" xfId="0"/>
    <xf numFmtId="167" fontId="0" fillId="0" borderId="0" pivotButton="0" quotePrefix="0" xfId="0"/>
    <xf numFmtId="167" fontId="0" fillId="0" borderId="3" pivotButton="0" quotePrefix="0" xfId="0"/>
    <xf numFmtId="10" fontId="0" fillId="0" borderId="4" pivotButton="0" quotePrefix="0" xfId="4"/>
    <xf numFmtId="10" fontId="0" fillId="0" borderId="5" pivotButton="0" quotePrefix="0" xfId="4"/>
    <xf numFmtId="0" fontId="0" fillId="0" borderId="4" pivotButton="0" quotePrefix="0" xfId="0"/>
    <xf numFmtId="0" fontId="0" fillId="0" borderId="5" pivotButton="0" quotePrefix="0" xfId="0"/>
    <xf numFmtId="166" fontId="0" fillId="0" borderId="5" pivotButton="0" quotePrefix="0" xfId="0"/>
    <xf numFmtId="166" fontId="0" fillId="0" borderId="4" pivotButton="0" quotePrefix="0" xfId="0"/>
    <xf numFmtId="167" fontId="0" fillId="0" borderId="4" pivotButton="0" quotePrefix="0" xfId="0"/>
    <xf numFmtId="167" fontId="0" fillId="0" borderId="5" pivotButton="0" quotePrefix="0" xfId="0"/>
    <xf numFmtId="0" fontId="0" fillId="0" borderId="0" applyAlignment="1" pivotButton="0" quotePrefix="0" xfId="0">
      <alignment horizontal="left"/>
    </xf>
    <xf numFmtId="168" fontId="0" fillId="0" borderId="0" pivotButton="0" quotePrefix="0" xfId="0"/>
    <xf numFmtId="0" fontId="13" fillId="2" borderId="0" applyAlignment="1" pivotButton="0" quotePrefix="0" xfId="0">
      <alignment horizontal="left"/>
    </xf>
    <xf numFmtId="0" fontId="13" fillId="2" borderId="0" applyAlignment="1" pivotButton="0" quotePrefix="0" xfId="0">
      <alignment horizontal="right"/>
    </xf>
    <xf numFmtId="169" fontId="0" fillId="0" borderId="0" pivotButton="0" quotePrefix="0" xfId="0"/>
    <xf numFmtId="0" fontId="0" fillId="8" borderId="0" applyAlignment="1" pivotButton="0" quotePrefix="0" xfId="0">
      <alignment horizontal="left"/>
    </xf>
    <xf numFmtId="0" fontId="0" fillId="8" borderId="0" pivotButton="0" quotePrefix="0" xfId="0"/>
    <xf numFmtId="10" fontId="0" fillId="8" borderId="0" pivotButton="0" quotePrefix="0" xfId="4"/>
    <xf numFmtId="165" fontId="2" fillId="4" borderId="0" applyAlignment="1" pivotButton="0" quotePrefix="0" xfId="0">
      <alignment horizontal="center"/>
    </xf>
    <xf numFmtId="0" fontId="10" fillId="7" borderId="0" applyAlignment="1" pivotButton="0" quotePrefix="0" xfId="0">
      <alignment horizontal="left" vertical="center"/>
    </xf>
    <xf numFmtId="3" fontId="10" fillId="7" borderId="0" applyAlignment="1" pivotButton="0" quotePrefix="0" xfId="0">
      <alignment horizontal="right" vertical="center" wrapText="1"/>
    </xf>
    <xf numFmtId="0" fontId="10" fillId="7" borderId="0" applyAlignment="1" pivotButton="0" quotePrefix="0" xfId="0">
      <alignment horizontal="right" vertical="center" wrapText="1"/>
    </xf>
    <xf numFmtId="164" fontId="0" fillId="0" borderId="0" pivotButton="0" quotePrefix="0" xfId="1"/>
    <xf numFmtId="164" fontId="1" fillId="0" borderId="0" pivotButton="0" quotePrefix="0" xfId="1"/>
    <xf numFmtId="170" fontId="0" fillId="0" borderId="0" pivotButton="0" quotePrefix="0" xfId="0"/>
    <xf numFmtId="171" fontId="0" fillId="0" borderId="0" pivotButton="0" quotePrefix="0" xfId="0"/>
    <xf numFmtId="170" fontId="3" fillId="0" borderId="1" pivotButton="0" quotePrefix="0" xfId="0"/>
    <xf numFmtId="171" fontId="3" fillId="0" borderId="1" pivotButton="0" quotePrefix="0" xfId="0"/>
    <xf numFmtId="171" fontId="3" fillId="0" borderId="0" pivotButton="0" quotePrefix="0" xfId="0"/>
    <xf numFmtId="172" fontId="0" fillId="0" borderId="0" pivotButton="0" quotePrefix="0" xfId="0"/>
    <xf numFmtId="173" fontId="0" fillId="8" borderId="0" pivotButton="0" quotePrefix="0" xfId="0"/>
    <xf numFmtId="0" fontId="14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2" fillId="3" borderId="0" applyAlignment="1" pivotButton="0" quotePrefix="0" xfId="2">
      <alignment horizontal="center"/>
    </xf>
    <xf numFmtId="164" fontId="0" fillId="0" borderId="0" pivotButton="0" quotePrefix="0" xfId="1"/>
    <xf numFmtId="164" fontId="6" fillId="0" borderId="0" applyAlignment="1" pivotButton="0" quotePrefix="0" xfId="3">
      <alignment horizontal="center"/>
    </xf>
    <xf numFmtId="164" fontId="3" fillId="0" borderId="0" pivotButton="0" quotePrefix="0" xfId="1"/>
    <xf numFmtId="170" fontId="0" fillId="0" borderId="0" pivotButton="0" quotePrefix="0" xfId="0"/>
    <xf numFmtId="171" fontId="0" fillId="0" borderId="0" pivotButton="0" quotePrefix="0" xfId="0"/>
    <xf numFmtId="170" fontId="3" fillId="0" borderId="1" pivotButton="0" quotePrefix="0" xfId="0"/>
    <xf numFmtId="171" fontId="3" fillId="0" borderId="1" pivotButton="0" quotePrefix="0" xfId="0"/>
    <xf numFmtId="171" fontId="3" fillId="0" borderId="0" pivotButton="0" quotePrefix="0" xfId="0"/>
    <xf numFmtId="166" fontId="0" fillId="0" borderId="3" pivotButton="0" quotePrefix="0" xfId="0"/>
    <xf numFmtId="166" fontId="0" fillId="0" borderId="5" pivotButton="0" quotePrefix="0" xfId="0"/>
    <xf numFmtId="166" fontId="0" fillId="0" borderId="2" pivotButton="0" quotePrefix="0" xfId="0"/>
    <xf numFmtId="166" fontId="0" fillId="0" borderId="4" pivotButton="0" quotePrefix="0" xfId="0"/>
    <xf numFmtId="166" fontId="0" fillId="0" borderId="0" pivotButton="0" quotePrefix="0" xfId="0"/>
    <xf numFmtId="167" fontId="0" fillId="0" borderId="2" pivotButton="0" quotePrefix="0" xfId="0"/>
    <xf numFmtId="167" fontId="0" fillId="0" borderId="4" pivotButton="0" quotePrefix="0" xfId="0"/>
    <xf numFmtId="167" fontId="0" fillId="0" borderId="0" pivotButton="0" quotePrefix="0" xfId="0"/>
    <xf numFmtId="167" fontId="0" fillId="0" borderId="3" pivotButton="0" quotePrefix="0" xfId="0"/>
    <xf numFmtId="167" fontId="0" fillId="0" borderId="5" pivotButton="0" quotePrefix="0" xfId="0"/>
    <xf numFmtId="169" fontId="0" fillId="0" borderId="0" pivotButton="0" quotePrefix="0" xfId="0"/>
    <xf numFmtId="168" fontId="0" fillId="0" borderId="0" pivotButton="0" quotePrefix="0" xfId="0"/>
  </cellXfs>
  <cellStyles count="5">
    <cellStyle name="Normal" xfId="0" builtinId="0"/>
    <cellStyle name="Comma 2" xfId="1"/>
    <cellStyle name="Accent6 2" xfId="2"/>
    <cellStyle name="Hyperlink" xfId="3" builtinId="8"/>
    <cellStyle name="Percent" xfId="4" builtinId="5"/>
  </cellStyles>
  <dxfs count="1">
    <dxf>
      <font>
        <b val="1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>
    <tabColor theme="8" tint="-0.499984740745262"/>
    <outlinePr summaryBelow="1" summaryRight="1"/>
    <pageSetUpPr/>
  </sheetPr>
  <dimension ref="A1:A1"/>
  <sheetViews>
    <sheetView showGridLines="0" zoomScale="85" zoomScaleNormal="85" workbookViewId="0">
      <selection activeCell="I25" sqref="I25"/>
    </sheetView>
  </sheetViews>
  <sheetFormatPr baseColWidth="8"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106"/>
  <sheetViews>
    <sheetView showGridLines="0" zoomScale="70" zoomScaleNormal="70" workbookViewId="0">
      <pane ySplit="3" topLeftCell="A5" activePane="bottomLeft" state="frozen"/>
      <selection activeCell="C1" sqref="C1"/>
      <selection pane="bottomLeft" activeCell="G30" sqref="G30"/>
    </sheetView>
  </sheetViews>
  <sheetFormatPr baseColWidth="8" defaultRowHeight="14.4" outlineLevelRow="1"/>
  <cols>
    <col width="1.88671875" customWidth="1" style="70" min="1" max="1"/>
    <col width="30.33203125" customWidth="1" style="70" min="2" max="2"/>
    <col width="13.33203125" customWidth="1" style="70" min="3" max="13"/>
    <col width="8.88671875" customWidth="1" style="70" min="14" max="14"/>
    <col width="8.88671875" customWidth="1" style="70" min="15" max="16384"/>
  </cols>
  <sheetData>
    <row r="2">
      <c r="B2" s="69">
        <f>"Historical Financial Statement - "&amp;'Data Sheet 1'!B1</f>
        <v/>
      </c>
    </row>
    <row r="3">
      <c r="B3" s="5" t="inlineStr">
        <is>
          <t xml:space="preserve">Years </t>
        </is>
      </c>
      <c r="C3" s="6">
        <f>'Data Sheet 1'!B16</f>
        <v/>
      </c>
      <c r="D3" s="6">
        <f>'Data Sheet 1'!C16</f>
        <v/>
      </c>
      <c r="E3" s="6">
        <f>'Data Sheet 1'!D16</f>
        <v/>
      </c>
      <c r="F3" s="6">
        <f>'Data Sheet 1'!E16</f>
        <v/>
      </c>
      <c r="G3" s="6">
        <f>'Data Sheet 1'!F16</f>
        <v/>
      </c>
      <c r="H3" s="6">
        <f>'Data Sheet 1'!G16</f>
        <v/>
      </c>
      <c r="I3" s="6">
        <f>'Data Sheet 1'!H16</f>
        <v/>
      </c>
      <c r="J3" s="6">
        <f>'Data Sheet 1'!I16</f>
        <v/>
      </c>
      <c r="K3" s="6">
        <f>'Data Sheet 1'!J16</f>
        <v/>
      </c>
      <c r="L3" s="6">
        <f>'Data Sheet 1'!K16</f>
        <v/>
      </c>
      <c r="M3" s="7" t="inlineStr">
        <is>
          <t>LTM</t>
        </is>
      </c>
    </row>
    <row r="4" customFormat="1" s="20">
      <c r="B4" s="12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4" t="n"/>
    </row>
    <row r="5">
      <c r="A5" s="8" t="inlineStr">
        <is>
          <t>#</t>
        </is>
      </c>
      <c r="B5" s="15" t="inlineStr">
        <is>
          <t>Income Statement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</row>
    <row r="6" outlineLevel="1" s="70">
      <c r="A6" s="76" t="n"/>
      <c r="B6" s="76" t="inlineStr">
        <is>
          <t xml:space="preserve">Sales </t>
        </is>
      </c>
      <c r="C6" s="76">
        <f>IFERROR('Data Sheet 1'!B17,0)</f>
        <v/>
      </c>
      <c r="D6" s="76">
        <f>IFERROR('Data Sheet 1'!C17,0)</f>
        <v/>
      </c>
      <c r="E6" s="76">
        <f>IFERROR('Data Sheet 1'!D17,0)</f>
        <v/>
      </c>
      <c r="F6" s="76">
        <f>IFERROR('Data Sheet 1'!E17,0)</f>
        <v/>
      </c>
      <c r="G6" s="76">
        <f>IFERROR('Data Sheet 1'!F17,0)</f>
        <v/>
      </c>
      <c r="H6" s="76">
        <f>IFERROR('Data Sheet 1'!G17,0)</f>
        <v/>
      </c>
      <c r="I6" s="76">
        <f>IFERROR('Data Sheet 1'!H17,0)</f>
        <v/>
      </c>
      <c r="J6" s="76">
        <f>IFERROR('Data Sheet 1'!I17,0)</f>
        <v/>
      </c>
      <c r="K6" s="76">
        <f>IFERROR('Data Sheet 1'!J17,0)</f>
        <v/>
      </c>
      <c r="L6" s="76">
        <f>IFERROR('Data Sheet 1'!K17,0)</f>
        <v/>
      </c>
      <c r="M6" s="76">
        <f>IFERROR(SUM('Data Sheet 1'!H36:K36),0)</f>
        <v/>
      </c>
    </row>
    <row r="7" outlineLevel="1" s="70">
      <c r="B7" s="9" t="inlineStr">
        <is>
          <t>Sales Growth</t>
        </is>
      </c>
      <c r="C7" s="10" t="inlineStr">
        <is>
          <t>-</t>
        </is>
      </c>
      <c r="D7" s="11">
        <f>D6/C6-1</f>
        <v/>
      </c>
      <c r="E7" s="11">
        <f>E6/D6-1</f>
        <v/>
      </c>
      <c r="F7" s="11">
        <f>F6/E6-1</f>
        <v/>
      </c>
      <c r="G7" s="11">
        <f>G6/F6-1</f>
        <v/>
      </c>
      <c r="H7" s="11">
        <f>H6/G6-1</f>
        <v/>
      </c>
      <c r="I7" s="11">
        <f>I6/H6-1</f>
        <v/>
      </c>
      <c r="J7" s="11">
        <f>J6/I6-1</f>
        <v/>
      </c>
      <c r="K7" s="11">
        <f>K6/J6-1</f>
        <v/>
      </c>
      <c r="L7" s="11">
        <f>L6/K6-1</f>
        <v/>
      </c>
      <c r="M7" s="11">
        <f>M6/L6-1</f>
        <v/>
      </c>
    </row>
    <row r="8" outlineLevel="1" s="70"/>
    <row r="9" outlineLevel="1" s="70">
      <c r="B9" t="inlineStr">
        <is>
          <t>COGS</t>
        </is>
      </c>
      <c r="C9" s="77">
        <f>IFERROR(SUM('Data Sheet 1'!B18,'Data Sheet 1'!B20:B22)-1*'Data Sheet 1'!B19,0)</f>
        <v/>
      </c>
      <c r="D9" s="77">
        <f>IFERROR(SUM('Data Sheet 1'!C18,'Data Sheet 1'!C20:C22)-1*'Data Sheet 1'!C19,0)</f>
        <v/>
      </c>
      <c r="E9" s="77">
        <f>IFERROR(SUM('Data Sheet 1'!D18,'Data Sheet 1'!D20:D22)-1*'Data Sheet 1'!D19,0)</f>
        <v/>
      </c>
      <c r="F9" s="77">
        <f>IFERROR(SUM('Data Sheet 1'!E18,'Data Sheet 1'!E20:E22)-1*'Data Sheet 1'!E19,0)</f>
        <v/>
      </c>
      <c r="G9" s="77">
        <f>IFERROR(SUM('Data Sheet 1'!F18,'Data Sheet 1'!F20:F22)-1*'Data Sheet 1'!F19,0)</f>
        <v/>
      </c>
      <c r="H9" s="77">
        <f>IFERROR(SUM('Data Sheet 1'!G18,'Data Sheet 1'!G20:G22)-1*'Data Sheet 1'!G19,0)</f>
        <v/>
      </c>
      <c r="I9" s="77">
        <f>IFERROR(SUM('Data Sheet 1'!H18,'Data Sheet 1'!H20:H22)-1*'Data Sheet 1'!H19,0)</f>
        <v/>
      </c>
      <c r="J9" s="77">
        <f>IFERROR(SUM('Data Sheet 1'!I18,'Data Sheet 1'!I20:I22)-1*'Data Sheet 1'!I19,0)</f>
        <v/>
      </c>
      <c r="K9" s="77">
        <f>IFERROR(SUM('Data Sheet 1'!J18,'Data Sheet 1'!J20:J22)-1*'Data Sheet 1'!J19,0)</f>
        <v/>
      </c>
      <c r="L9" s="77">
        <f>IFERROR(SUM('Data Sheet 1'!K18,'Data Sheet 1'!K20:K22)-1*'Data Sheet 1'!K19,0)</f>
        <v/>
      </c>
      <c r="M9" s="77">
        <f>IFERROR(SUM('Data Sheet 1'!H37:K37,),0)</f>
        <v/>
      </c>
    </row>
    <row r="10" outlineLevel="1" s="70">
      <c r="B10" s="9" t="inlineStr">
        <is>
          <t xml:space="preserve">COGS % Sales </t>
        </is>
      </c>
      <c r="C10" s="11">
        <f>C9/C6</f>
        <v/>
      </c>
      <c r="D10" s="11">
        <f>D9/D6</f>
        <v/>
      </c>
      <c r="E10" s="11">
        <f>E9/E6</f>
        <v/>
      </c>
      <c r="F10" s="11">
        <f>F9/F6</f>
        <v/>
      </c>
      <c r="G10" s="11">
        <f>G9/G6</f>
        <v/>
      </c>
      <c r="H10" s="11">
        <f>H9/H6</f>
        <v/>
      </c>
      <c r="I10" s="11">
        <f>I9/I6</f>
        <v/>
      </c>
      <c r="J10" s="11">
        <f>J9/J6</f>
        <v/>
      </c>
      <c r="K10" s="11">
        <f>K9/K6</f>
        <v/>
      </c>
      <c r="L10" s="11">
        <f>L9/L6</f>
        <v/>
      </c>
      <c r="M10" s="11">
        <f>M9/M6</f>
        <v/>
      </c>
    </row>
    <row r="11" outlineLevel="1" s="70"/>
    <row r="12" outlineLevel="1" s="70">
      <c r="B12" s="25" t="inlineStr">
        <is>
          <t xml:space="preserve">Gross Profit </t>
        </is>
      </c>
      <c r="C12" s="78">
        <f>C6-C9</f>
        <v/>
      </c>
      <c r="D12" s="78">
        <f>D6-D9</f>
        <v/>
      </c>
      <c r="E12" s="78">
        <f>E6-E9</f>
        <v/>
      </c>
      <c r="F12" s="78">
        <f>F6-F9</f>
        <v/>
      </c>
      <c r="G12" s="78">
        <f>G6-G9</f>
        <v/>
      </c>
      <c r="H12" s="78">
        <f>H6-H9</f>
        <v/>
      </c>
      <c r="I12" s="78">
        <f>I6-I9</f>
        <v/>
      </c>
      <c r="J12" s="78">
        <f>J6-J9</f>
        <v/>
      </c>
      <c r="K12" s="78">
        <f>K6-K9</f>
        <v/>
      </c>
      <c r="L12" s="78">
        <f>L6-L9</f>
        <v/>
      </c>
      <c r="M12" s="78">
        <f>M6-M9</f>
        <v/>
      </c>
    </row>
    <row r="13" outlineLevel="1" s="70">
      <c r="B13" s="11" t="inlineStr">
        <is>
          <t>Gross Margins</t>
        </is>
      </c>
      <c r="C13" s="11">
        <f>C12/C6</f>
        <v/>
      </c>
      <c r="D13" s="11">
        <f>D12/D6</f>
        <v/>
      </c>
      <c r="E13" s="11">
        <f>E12/E6</f>
        <v/>
      </c>
      <c r="F13" s="11">
        <f>F12/F6</f>
        <v/>
      </c>
      <c r="G13" s="11">
        <f>G12/G6</f>
        <v/>
      </c>
      <c r="H13" s="11">
        <f>H12/H6</f>
        <v/>
      </c>
      <c r="I13" s="11">
        <f>I12/I6</f>
        <v/>
      </c>
      <c r="J13" s="11">
        <f>J12/J6</f>
        <v/>
      </c>
      <c r="K13" s="11">
        <f>K12/K6</f>
        <v/>
      </c>
      <c r="L13" s="11">
        <f>L12/L6</f>
        <v/>
      </c>
      <c r="M13" s="11">
        <f>M12/M6</f>
        <v/>
      </c>
    </row>
    <row r="14" outlineLevel="1" s="70"/>
    <row r="15" outlineLevel="1" s="70">
      <c r="B15" t="inlineStr">
        <is>
          <t>Selling &amp; General Expenses</t>
        </is>
      </c>
      <c r="C15" s="76">
        <f>IFERROR(SUM('Data Sheet 1'!B23:B24),0)</f>
        <v/>
      </c>
      <c r="D15" s="76">
        <f>IFERROR(SUM('Data Sheet 1'!C23:C24),0)</f>
        <v/>
      </c>
      <c r="E15" s="76">
        <f>IFERROR(SUM('Data Sheet 1'!D23:D24),0)</f>
        <v/>
      </c>
      <c r="F15" s="76">
        <f>IFERROR(SUM('Data Sheet 1'!E23:E24),0)</f>
        <v/>
      </c>
      <c r="G15" s="76">
        <f>IFERROR(SUM('Data Sheet 1'!F23:F24),0)</f>
        <v/>
      </c>
      <c r="H15" s="76">
        <f>IFERROR(SUM('Data Sheet 1'!G23:G24),0)</f>
        <v/>
      </c>
      <c r="I15" s="76">
        <f>IFERROR(SUM('Data Sheet 1'!H23:H24),0)</f>
        <v/>
      </c>
      <c r="J15" s="76">
        <f>IFERROR(SUM('Data Sheet 1'!I23:I24),0)</f>
        <v/>
      </c>
      <c r="K15" s="76">
        <f>IFERROR(SUM('Data Sheet 1'!J23:J24),0)</f>
        <v/>
      </c>
      <c r="L15" s="76">
        <f>IFERROR(SUM('Data Sheet 1'!K23:K24),0)</f>
        <v/>
      </c>
      <c r="M15" s="76">
        <f>IFERROR(SUM('Data Sheet 1'!L23:L24),0)</f>
        <v/>
      </c>
    </row>
    <row r="16" outlineLevel="1" s="70">
      <c r="B16" s="11" t="inlineStr">
        <is>
          <t>S&amp;G Exp % Sales</t>
        </is>
      </c>
      <c r="C16" s="11">
        <f>C15/C6</f>
        <v/>
      </c>
      <c r="D16" s="11">
        <f>D15/D6</f>
        <v/>
      </c>
      <c r="E16" s="11">
        <f>E15/E6</f>
        <v/>
      </c>
      <c r="F16" s="11">
        <f>F15/F6</f>
        <v/>
      </c>
      <c r="G16" s="11">
        <f>G15/G6</f>
        <v/>
      </c>
      <c r="H16" s="11">
        <f>H15/H6</f>
        <v/>
      </c>
      <c r="I16" s="11">
        <f>I15/I6</f>
        <v/>
      </c>
      <c r="J16" s="11">
        <f>J15/J6</f>
        <v/>
      </c>
      <c r="K16" s="11">
        <f>K15/K6</f>
        <v/>
      </c>
      <c r="L16" s="11">
        <f>L15/L6</f>
        <v/>
      </c>
      <c r="M16" s="11">
        <f>M15/M6</f>
        <v/>
      </c>
    </row>
    <row r="17" outlineLevel="1" s="70"/>
    <row r="18" outlineLevel="1" s="70">
      <c r="B18" s="25" t="inlineStr">
        <is>
          <t>EBITDA</t>
        </is>
      </c>
      <c r="C18" s="78">
        <f>C12-C15</f>
        <v/>
      </c>
      <c r="D18" s="78">
        <f>D12-D15</f>
        <v/>
      </c>
      <c r="E18" s="78">
        <f>E12-E15</f>
        <v/>
      </c>
      <c r="F18" s="78">
        <f>F12-F15</f>
        <v/>
      </c>
      <c r="G18" s="78">
        <f>G12-G15</f>
        <v/>
      </c>
      <c r="H18" s="78">
        <f>H12-H15</f>
        <v/>
      </c>
      <c r="I18" s="78">
        <f>I12-I15</f>
        <v/>
      </c>
      <c r="J18" s="78">
        <f>J12-J15</f>
        <v/>
      </c>
      <c r="K18" s="78">
        <f>K12-K15</f>
        <v/>
      </c>
      <c r="L18" s="78">
        <f>L12-L15</f>
        <v/>
      </c>
      <c r="M18" s="78">
        <f>M12-M15</f>
        <v/>
      </c>
    </row>
    <row r="19" outlineLevel="1" s="70">
      <c r="B19" s="11" t="inlineStr">
        <is>
          <t>EBITDA Margins</t>
        </is>
      </c>
      <c r="C19" s="11">
        <f>C18/C6</f>
        <v/>
      </c>
      <c r="D19" s="11">
        <f>D18/D6</f>
        <v/>
      </c>
      <c r="E19" s="11">
        <f>E18/E6</f>
        <v/>
      </c>
      <c r="F19" s="11">
        <f>F18/F6</f>
        <v/>
      </c>
      <c r="G19" s="11">
        <f>G18/G6</f>
        <v/>
      </c>
      <c r="H19" s="11">
        <f>H18/H6</f>
        <v/>
      </c>
      <c r="I19" s="11">
        <f>I18/I6</f>
        <v/>
      </c>
      <c r="J19" s="11">
        <f>J18/J6</f>
        <v/>
      </c>
      <c r="K19" s="11">
        <f>K18/K6</f>
        <v/>
      </c>
      <c r="L19" s="11">
        <f>L18/L6</f>
        <v/>
      </c>
    </row>
    <row r="20" outlineLevel="1" s="70"/>
    <row r="21" outlineLevel="1" s="70">
      <c r="B21" t="inlineStr">
        <is>
          <t xml:space="preserve">Interest </t>
        </is>
      </c>
      <c r="C21" s="76">
        <f>IFERROR('Data Sheet 1'!B27,0)</f>
        <v/>
      </c>
      <c r="D21" s="76">
        <f>IFERROR('Data Sheet 1'!C27,0)</f>
        <v/>
      </c>
      <c r="E21" s="76">
        <f>IFERROR('Data Sheet 1'!D27,0)</f>
        <v/>
      </c>
      <c r="F21" s="76">
        <f>IFERROR('Data Sheet 1'!E27,0)</f>
        <v/>
      </c>
      <c r="G21" s="76">
        <f>IFERROR('Data Sheet 1'!F27,0)</f>
        <v/>
      </c>
      <c r="H21" s="76">
        <f>IFERROR('Data Sheet 1'!G27,0)</f>
        <v/>
      </c>
      <c r="I21" s="76">
        <f>IFERROR('Data Sheet 1'!H27,0)</f>
        <v/>
      </c>
      <c r="J21" s="76">
        <f>IFERROR('Data Sheet 1'!I27,0)</f>
        <v/>
      </c>
      <c r="K21" s="76">
        <f>IFERROR('Data Sheet 1'!J27,0)</f>
        <v/>
      </c>
      <c r="L21" s="76">
        <f>IFERROR('Data Sheet 1'!K27,0)</f>
        <v/>
      </c>
      <c r="M21" s="76">
        <f>IFERROR(SUM('Data Sheet 1'!H40:K40),0)</f>
        <v/>
      </c>
    </row>
    <row r="22" outlineLevel="1" s="70">
      <c r="B22" s="11" t="inlineStr">
        <is>
          <t>Interest % Sales</t>
        </is>
      </c>
      <c r="C22" s="11">
        <f>C21/C6</f>
        <v/>
      </c>
      <c r="D22" s="11">
        <f>D21/D6</f>
        <v/>
      </c>
      <c r="E22" s="11">
        <f>E21/E6</f>
        <v/>
      </c>
      <c r="F22" s="11">
        <f>F21/F6</f>
        <v/>
      </c>
      <c r="G22" s="11">
        <f>G21/G6</f>
        <v/>
      </c>
      <c r="H22" s="11">
        <f>H21/H6</f>
        <v/>
      </c>
      <c r="I22" s="11">
        <f>I21/I6</f>
        <v/>
      </c>
      <c r="J22" s="11">
        <f>J21/J6</f>
        <v/>
      </c>
      <c r="K22" s="11">
        <f>K21/K6</f>
        <v/>
      </c>
      <c r="L22" s="11">
        <f>L21/L6</f>
        <v/>
      </c>
      <c r="M22" s="11">
        <f>M21/M6</f>
        <v/>
      </c>
    </row>
    <row r="23" outlineLevel="1" s="70"/>
    <row r="24" outlineLevel="1" s="70">
      <c r="B24" t="inlineStr">
        <is>
          <t>Depriciation</t>
        </is>
      </c>
      <c r="C24" s="76">
        <f>IFERROR('Data Sheet 1'!B26,0)</f>
        <v/>
      </c>
      <c r="D24" s="76">
        <f>IFERROR('Data Sheet 1'!C26,0)</f>
        <v/>
      </c>
      <c r="E24" s="76">
        <f>IFERROR('Data Sheet 1'!D26,0)</f>
        <v/>
      </c>
      <c r="F24" s="76">
        <f>IFERROR('Data Sheet 1'!E26,0)</f>
        <v/>
      </c>
      <c r="G24" s="76">
        <f>IFERROR('Data Sheet 1'!F26,0)</f>
        <v/>
      </c>
      <c r="H24" s="76">
        <f>IFERROR('Data Sheet 1'!G26,0)</f>
        <v/>
      </c>
      <c r="I24" s="76">
        <f>IFERROR('Data Sheet 1'!H26,0)</f>
        <v/>
      </c>
      <c r="J24" s="76">
        <f>IFERROR('Data Sheet 1'!I26,0)</f>
        <v/>
      </c>
      <c r="K24" s="76">
        <f>IFERROR('Data Sheet 1'!J26,0)</f>
        <v/>
      </c>
      <c r="L24" s="76">
        <f>IFERROR('Data Sheet 1'!K26,0)</f>
        <v/>
      </c>
      <c r="M24" s="76">
        <f>IFERROR(SUM('Data Sheet 1'!H39:K39),0)</f>
        <v/>
      </c>
    </row>
    <row r="25" outlineLevel="1" s="70">
      <c r="B25" s="11" t="inlineStr">
        <is>
          <t>Depriciation % Sales</t>
        </is>
      </c>
      <c r="C25" s="11">
        <f>C24/C6</f>
        <v/>
      </c>
      <c r="D25" s="11">
        <f>D24/D6</f>
        <v/>
      </c>
      <c r="E25" s="11">
        <f>E24/E6</f>
        <v/>
      </c>
      <c r="F25" s="11">
        <f>F24/F6</f>
        <v/>
      </c>
      <c r="G25" s="11">
        <f>G24/G6</f>
        <v/>
      </c>
      <c r="H25" s="11">
        <f>H24/H6</f>
        <v/>
      </c>
      <c r="I25" s="11">
        <f>I24/I6</f>
        <v/>
      </c>
      <c r="J25" s="11">
        <f>J24/J6</f>
        <v/>
      </c>
      <c r="K25" s="11">
        <f>K24/K6</f>
        <v/>
      </c>
      <c r="L25" s="11">
        <f>L24/L6</f>
        <v/>
      </c>
      <c r="M25" s="11">
        <f>M24/M6</f>
        <v/>
      </c>
    </row>
    <row r="26" outlineLevel="1" s="70"/>
    <row r="27" outlineLevel="1" s="70">
      <c r="B27" s="25" t="inlineStr">
        <is>
          <t>Earning Before Tax + Other inc</t>
        </is>
      </c>
      <c r="C27" s="78">
        <f>IFERROR(C18-SUM(C21+C24)+'Data Sheet 1'!B25,0)</f>
        <v/>
      </c>
      <c r="D27" s="78">
        <f>IFERROR(D18-SUM(D21+D24)+'Data Sheet 1'!C25,0)</f>
        <v/>
      </c>
      <c r="E27" s="78">
        <f>IFERROR(E18-SUM(E21+E24)+'Data Sheet 1'!D25,0)</f>
        <v/>
      </c>
      <c r="F27" s="78">
        <f>IFERROR(F18-SUM(F21+F24)+'Data Sheet 1'!E25,0)</f>
        <v/>
      </c>
      <c r="G27" s="78">
        <f>IFERROR(G18-SUM(G21+G24)+'Data Sheet 1'!F25,0)</f>
        <v/>
      </c>
      <c r="H27" s="78">
        <f>IFERROR(H18-SUM(H21+H24)+'Data Sheet 1'!G25,0)</f>
        <v/>
      </c>
      <c r="I27" s="78">
        <f>IFERROR(I18-SUM(I21+I24)+'Data Sheet 1'!H25,0)</f>
        <v/>
      </c>
      <c r="J27" s="78">
        <f>IFERROR(J18-SUM(J21+J24)+'Data Sheet 1'!I25,0)</f>
        <v/>
      </c>
      <c r="K27" s="78">
        <f>IFERROR(K18-SUM(K21+K24)+'Data Sheet 1'!J25,0)</f>
        <v/>
      </c>
      <c r="L27" s="78">
        <f>IFERROR(L18-SUM(L21+L24)+'Data Sheet 1'!K25,0)</f>
        <v/>
      </c>
      <c r="M27" s="79">
        <f>IFERROR(M18-SUM(M21+M24),0)</f>
        <v/>
      </c>
    </row>
    <row r="28" outlineLevel="1" s="70">
      <c r="B28" s="11" t="inlineStr">
        <is>
          <t>EBT % Sales</t>
        </is>
      </c>
      <c r="C28" s="11">
        <f>C27/C6</f>
        <v/>
      </c>
      <c r="D28" s="11">
        <f>D27/D6</f>
        <v/>
      </c>
      <c r="E28" s="11">
        <f>E27/E6</f>
        <v/>
      </c>
      <c r="F28" s="11">
        <f>F27/F6</f>
        <v/>
      </c>
      <c r="G28" s="11">
        <f>G27/G6</f>
        <v/>
      </c>
      <c r="H28" s="11">
        <f>H27/H6</f>
        <v/>
      </c>
      <c r="I28" s="11">
        <f>I27/I6</f>
        <v/>
      </c>
      <c r="J28" s="11">
        <f>J27/J6</f>
        <v/>
      </c>
      <c r="K28" s="11">
        <f>K27/K6</f>
        <v/>
      </c>
      <c r="L28" s="11">
        <f>L27/L6</f>
        <v/>
      </c>
      <c r="M28" s="11">
        <f>M27/M6</f>
        <v/>
      </c>
    </row>
    <row r="29" outlineLevel="1" s="70"/>
    <row r="30" outlineLevel="1" s="70">
      <c r="B30" t="inlineStr">
        <is>
          <t>Tax</t>
        </is>
      </c>
      <c r="C30" s="76">
        <f>IFERROR('Data Sheet 1'!B29,0)</f>
        <v/>
      </c>
      <c r="D30" s="76">
        <f>IFERROR('Data Sheet 1'!C29,0)</f>
        <v/>
      </c>
      <c r="E30" s="76">
        <f>IFERROR('Data Sheet 1'!D29,0)</f>
        <v/>
      </c>
      <c r="F30" s="76">
        <f>IFERROR('Data Sheet 1'!E29,0)</f>
        <v/>
      </c>
      <c r="G30" s="76">
        <f>IFERROR('Data Sheet 1'!F29,0)</f>
        <v/>
      </c>
      <c r="H30" s="76">
        <f>IFERROR('Data Sheet 1'!G29,0)</f>
        <v/>
      </c>
      <c r="I30" s="76">
        <f>IFERROR('Data Sheet 1'!H29,0)</f>
        <v/>
      </c>
      <c r="J30" s="76">
        <f>IFERROR('Data Sheet 1'!I29,0)</f>
        <v/>
      </c>
      <c r="K30" s="76">
        <f>IFERROR('Data Sheet 1'!J29,0)</f>
        <v/>
      </c>
      <c r="L30" s="76">
        <f>IFERROR('Data Sheet 1'!K29,0)</f>
        <v/>
      </c>
      <c r="M30" s="76">
        <f>IFERROR('Data Sheet 1'!L29,0)</f>
        <v/>
      </c>
    </row>
    <row r="31" outlineLevel="1" s="70">
      <c r="B31" s="11" t="inlineStr">
        <is>
          <t xml:space="preserve">Effective Tax Rate </t>
        </is>
      </c>
      <c r="C31" s="11">
        <f>C30/C27</f>
        <v/>
      </c>
      <c r="D31" s="11">
        <f>D30/D27</f>
        <v/>
      </c>
      <c r="E31" s="11">
        <f>E30/E27</f>
        <v/>
      </c>
      <c r="F31" s="11">
        <f>F30/F27</f>
        <v/>
      </c>
      <c r="G31" s="11">
        <f>G30/G27</f>
        <v/>
      </c>
      <c r="H31" s="11">
        <f>H30/H27</f>
        <v/>
      </c>
      <c r="I31" s="11">
        <f>I30/I27</f>
        <v/>
      </c>
      <c r="J31" s="11">
        <f>J30/J27</f>
        <v/>
      </c>
      <c r="K31" s="11">
        <f>K30/K27</f>
        <v/>
      </c>
      <c r="L31" s="11">
        <f>L30/L27</f>
        <v/>
      </c>
      <c r="M31" s="11">
        <f>M30/M27</f>
        <v/>
      </c>
    </row>
    <row r="32" outlineLevel="1" s="70"/>
    <row r="33" outlineLevel="1" s="70">
      <c r="B33" s="25" t="inlineStr">
        <is>
          <t xml:space="preserve">Net Profit </t>
        </is>
      </c>
      <c r="C33" s="78">
        <f>C27-C30</f>
        <v/>
      </c>
      <c r="D33" s="78">
        <f>D27-D30</f>
        <v/>
      </c>
      <c r="E33" s="78">
        <f>E27-E30</f>
        <v/>
      </c>
      <c r="F33" s="78">
        <f>F27-F30</f>
        <v/>
      </c>
      <c r="G33" s="78">
        <f>G27-G30</f>
        <v/>
      </c>
      <c r="H33" s="78">
        <f>H27-H30</f>
        <v/>
      </c>
      <c r="I33" s="78">
        <f>I27-I30</f>
        <v/>
      </c>
      <c r="J33" s="78">
        <f>J27-J30</f>
        <v/>
      </c>
      <c r="K33" s="78">
        <f>K27-K30</f>
        <v/>
      </c>
      <c r="L33" s="78">
        <f>L27-L30</f>
        <v/>
      </c>
      <c r="M33" s="78">
        <f>M27-M30</f>
        <v/>
      </c>
    </row>
    <row r="34" outlineLevel="1" s="70">
      <c r="B34" s="11" t="inlineStr">
        <is>
          <t xml:space="preserve">Net Margins </t>
        </is>
      </c>
      <c r="C34" s="11">
        <f>C33/C6</f>
        <v/>
      </c>
      <c r="D34" s="11">
        <f>D33/D6</f>
        <v/>
      </c>
      <c r="E34" s="11">
        <f>E33/E6</f>
        <v/>
      </c>
      <c r="F34" s="11">
        <f>F33/F6</f>
        <v/>
      </c>
      <c r="G34" s="11">
        <f>G33/G6</f>
        <v/>
      </c>
      <c r="H34" s="11">
        <f>H33/H6</f>
        <v/>
      </c>
      <c r="I34" s="11">
        <f>I33/I6</f>
        <v/>
      </c>
      <c r="J34" s="11">
        <f>J33/J6</f>
        <v/>
      </c>
      <c r="K34" s="11">
        <f>K33/K6</f>
        <v/>
      </c>
      <c r="L34" s="11">
        <f>L33/L6</f>
        <v/>
      </c>
      <c r="M34" s="11">
        <f>M33/M6</f>
        <v/>
      </c>
    </row>
    <row r="35" outlineLevel="1" s="70"/>
    <row r="36" outlineLevel="1" s="70">
      <c r="B36" t="inlineStr">
        <is>
          <t xml:space="preserve">Number of Equity Shares </t>
        </is>
      </c>
      <c r="C36" s="76">
        <f>IFERROR('Data Sheet 1'!B77,0)</f>
        <v/>
      </c>
      <c r="D36" s="76">
        <f>IFERROR('Data Sheet 1'!C77,0)</f>
        <v/>
      </c>
      <c r="E36" s="76">
        <f>IFERROR('Data Sheet 1'!D77,0)</f>
        <v/>
      </c>
      <c r="F36" s="76">
        <f>IFERROR('Data Sheet 1'!E77,0)</f>
        <v/>
      </c>
      <c r="G36" s="76">
        <f>IFERROR('Data Sheet 1'!F77,0)</f>
        <v/>
      </c>
      <c r="H36" s="76">
        <f>IFERROR('Data Sheet 1'!G77,0)</f>
        <v/>
      </c>
      <c r="I36" s="76">
        <f>IFERROR('Data Sheet 1'!H77,0)</f>
        <v/>
      </c>
      <c r="J36" s="76">
        <f>IFERROR('Data Sheet 1'!I77,0)</f>
        <v/>
      </c>
      <c r="K36" s="76">
        <f>IFERROR('Data Sheet 1'!J77,0)</f>
        <v/>
      </c>
      <c r="L36" s="76">
        <f>IFERROR('Data Sheet 1'!K77,0)</f>
        <v/>
      </c>
      <c r="M36" s="76">
        <f>IFERROR('Data Sheet 1'!L77,0)</f>
        <v/>
      </c>
    </row>
    <row r="37" outlineLevel="1" s="70">
      <c r="C37" s="76" t="n"/>
      <c r="D37" s="76" t="n"/>
      <c r="E37" s="76" t="n"/>
      <c r="F37" s="76" t="n"/>
      <c r="G37" s="76" t="n"/>
      <c r="H37" s="76" t="n"/>
      <c r="I37" s="76" t="n"/>
      <c r="J37" s="76" t="n"/>
      <c r="K37" s="76" t="n"/>
      <c r="L37" s="76" t="n"/>
      <c r="M37" s="76" t="n"/>
    </row>
    <row r="38" outlineLevel="1" s="70">
      <c r="B38" t="inlineStr">
        <is>
          <t xml:space="preserve">Earning Per Share </t>
        </is>
      </c>
      <c r="C38" s="76">
        <f>IFERROR(C33/C36,0)</f>
        <v/>
      </c>
      <c r="D38" s="76">
        <f>IFERROR(D33/D36,0)</f>
        <v/>
      </c>
      <c r="E38" s="76">
        <f>IFERROR(E33/E36,0)</f>
        <v/>
      </c>
      <c r="F38" s="76">
        <f>IFERROR(F33/F36,0)</f>
        <v/>
      </c>
      <c r="G38" s="76">
        <f>IFERROR(G33/G36,0)</f>
        <v/>
      </c>
      <c r="H38" s="76">
        <f>IFERROR(H33/H36,0)</f>
        <v/>
      </c>
      <c r="I38" s="76">
        <f>IFERROR(I33/I36,0)</f>
        <v/>
      </c>
      <c r="J38" s="76">
        <f>IFERROR(J33/J36,0)</f>
        <v/>
      </c>
      <c r="K38" s="76">
        <f>IFERROR(K33/K36,0)</f>
        <v/>
      </c>
      <c r="L38" s="76">
        <f>IFERROR(L33/L36,0)</f>
        <v/>
      </c>
      <c r="M38" s="76">
        <f>IFERROR(M33/M36,0)</f>
        <v/>
      </c>
    </row>
    <row r="39" outlineLevel="1" s="70">
      <c r="B39" s="11" t="inlineStr">
        <is>
          <t>EPS Growth %</t>
        </is>
      </c>
      <c r="C39" s="11" t="n"/>
      <c r="D39" s="11">
        <f>IFERROR(D38/C38-1,0)</f>
        <v/>
      </c>
      <c r="E39" s="11">
        <f>IFERROR(E38/D38-1,0)</f>
        <v/>
      </c>
      <c r="F39" s="11">
        <f>IFERROR(F38/E38-1,0)</f>
        <v/>
      </c>
      <c r="G39" s="11">
        <f>IFERROR(G38/F38-1,0)</f>
        <v/>
      </c>
      <c r="H39" s="11">
        <f>IFERROR(H38/G38-1,0)</f>
        <v/>
      </c>
      <c r="I39" s="11">
        <f>IFERROR(I38/H38-1,0)</f>
        <v/>
      </c>
      <c r="J39" s="11">
        <f>IFERROR(J38/I38-1,0)</f>
        <v/>
      </c>
      <c r="K39" s="11">
        <f>IFERROR(K38/J38-1,0)</f>
        <v/>
      </c>
      <c r="L39" s="11">
        <f>IFERROR(L38/K38-1,0)</f>
        <v/>
      </c>
      <c r="M39" s="11">
        <f>IFERROR(M38/L38-1,0)</f>
        <v/>
      </c>
    </row>
    <row r="40" outlineLevel="1" s="70"/>
    <row r="41" outlineLevel="1" s="70">
      <c r="B41" t="inlineStr">
        <is>
          <t xml:space="preserve">Dividend per Share </t>
        </is>
      </c>
      <c r="C41" s="77">
        <f>IFERROR('Data Sheet 1'!B31/HistoricalFS!C36,0)</f>
        <v/>
      </c>
      <c r="D41" s="77">
        <f>IFERROR('Data Sheet 1'!C31/HistoricalFS!D36,0)</f>
        <v/>
      </c>
      <c r="E41" s="77">
        <f>IFERROR('Data Sheet 1'!D31/HistoricalFS!E36,0)</f>
        <v/>
      </c>
      <c r="F41" s="77">
        <f>IFERROR('Data Sheet 1'!E31/HistoricalFS!F36,0)</f>
        <v/>
      </c>
      <c r="G41" s="77">
        <f>IFERROR('Data Sheet 1'!F31/HistoricalFS!G36,0)</f>
        <v/>
      </c>
      <c r="H41" s="77">
        <f>IFERROR('Data Sheet 1'!G31/HistoricalFS!H36,0)</f>
        <v/>
      </c>
      <c r="I41" s="77">
        <f>IFERROR('Data Sheet 1'!H31/HistoricalFS!I36,0)</f>
        <v/>
      </c>
      <c r="J41" s="77">
        <f>IFERROR('Data Sheet 1'!I31/HistoricalFS!J36,0)</f>
        <v/>
      </c>
      <c r="K41" s="77">
        <f>IFERROR('Data Sheet 1'!J31/HistoricalFS!K36,0)</f>
        <v/>
      </c>
      <c r="L41" s="77">
        <f>IFERROR('Data Sheet 1'!K31/HistoricalFS!L36,0)</f>
        <v/>
      </c>
      <c r="M41" s="77">
        <f>IFERROR('Data Sheet 1'!L31/HistoricalFS!M36,0)</f>
        <v/>
      </c>
    </row>
    <row r="42" outlineLevel="1" s="70">
      <c r="B42" s="11" t="inlineStr">
        <is>
          <t>Dividend payout ratio</t>
        </is>
      </c>
      <c r="C42" s="11">
        <f>IFERROR(C41/C38,0)</f>
        <v/>
      </c>
      <c r="D42" s="11">
        <f>IFERROR(D41/D38,0)</f>
        <v/>
      </c>
      <c r="E42" s="11">
        <f>IFERROR(E41/E38,0)</f>
        <v/>
      </c>
      <c r="F42" s="11">
        <f>IFERROR(F41/F38,0)</f>
        <v/>
      </c>
      <c r="G42" s="11">
        <f>IFERROR(G41/G38,0)</f>
        <v/>
      </c>
      <c r="H42" s="11">
        <f>IFERROR(H41/H38,0)</f>
        <v/>
      </c>
      <c r="I42" s="11">
        <f>IFERROR(I41/I38,0)</f>
        <v/>
      </c>
      <c r="J42" s="11">
        <f>IFERROR(J41/J38,0)</f>
        <v/>
      </c>
      <c r="K42" s="11">
        <f>IFERROR(K41/K38,0)</f>
        <v/>
      </c>
      <c r="L42" s="11">
        <f>IFERROR(L41/L38,0)</f>
        <v/>
      </c>
      <c r="M42" s="11">
        <f>IFERROR(M41/M38,0)</f>
        <v/>
      </c>
    </row>
    <row r="43" outlineLevel="1" s="70"/>
    <row r="44" outlineLevel="1" s="70">
      <c r="B44" t="inlineStr">
        <is>
          <t xml:space="preserve">Reatined Earnings </t>
        </is>
      </c>
      <c r="C44" s="29">
        <f>IFERROR(IF(C38&gt;C41,1-C42,0),0)</f>
        <v/>
      </c>
      <c r="D44" s="29">
        <f>IFERROR(IF(D38&gt;D41,1-D42,0),0)</f>
        <v/>
      </c>
      <c r="E44" s="29">
        <f>IFERROR(IF(E38&gt;E41,1-E42,0),0)</f>
        <v/>
      </c>
      <c r="F44" s="29">
        <f>IFERROR(IF(F38&gt;F41,1-F42,0),0)</f>
        <v/>
      </c>
      <c r="G44" s="29">
        <f>IFERROR(IF(G38&gt;G41,1-G42,0),0)</f>
        <v/>
      </c>
      <c r="H44" s="29">
        <f>IFERROR(IF(H38&gt;H41,1-H42,0),0)</f>
        <v/>
      </c>
      <c r="I44" s="29">
        <f>IFERROR(IF(I38&gt;I41,1-I42,0),0)</f>
        <v/>
      </c>
      <c r="J44" s="29">
        <f>IFERROR(IF(J38&gt;J41,1-J42,0),0)</f>
        <v/>
      </c>
      <c r="K44" s="29">
        <f>IFERROR(IF(K38&gt;K41,1-K42,0),0)</f>
        <v/>
      </c>
      <c r="L44" s="29">
        <f>IFERROR(IF(L38&gt;L41,1-L42,0),0)</f>
        <v/>
      </c>
      <c r="M44" s="29">
        <f>IFERROR(IF(M38&gt;M41,1-M42,0),0)</f>
        <v/>
      </c>
    </row>
    <row r="46">
      <c r="A46" t="inlineStr">
        <is>
          <t xml:space="preserve"> #</t>
        </is>
      </c>
      <c r="B46" s="15" t="inlineStr">
        <is>
          <t>Balance Sheet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</row>
    <row r="47" hidden="1" outlineLevel="1" s="70">
      <c r="B47" t="inlineStr">
        <is>
          <t>Equity Share Capital</t>
        </is>
      </c>
      <c r="C47" s="77">
        <f>IFERROR('Data Sheet 1'!B49,0)</f>
        <v/>
      </c>
      <c r="D47" s="77">
        <f>IFERROR('Data Sheet 1'!C49,0)</f>
        <v/>
      </c>
      <c r="E47" s="77">
        <f>IFERROR('Data Sheet 1'!D49,0)</f>
        <v/>
      </c>
      <c r="F47" s="77">
        <f>IFERROR('Data Sheet 1'!E49,0)</f>
        <v/>
      </c>
      <c r="G47" s="77">
        <f>IFERROR('Data Sheet 1'!F49,0)</f>
        <v/>
      </c>
      <c r="H47" s="77">
        <f>IFERROR('Data Sheet 1'!G49,0)</f>
        <v/>
      </c>
      <c r="I47" s="77">
        <f>IFERROR('Data Sheet 1'!H49,0)</f>
        <v/>
      </c>
      <c r="J47" s="77">
        <f>IFERROR('Data Sheet 1'!I49,0)</f>
        <v/>
      </c>
      <c r="K47" s="77">
        <f>IFERROR('Data Sheet 1'!J49,0)</f>
        <v/>
      </c>
      <c r="L47" s="77">
        <f>IFERROR('Data Sheet 1'!K49,0)</f>
        <v/>
      </c>
      <c r="M47" s="77">
        <f>IFERROR('Data Sheet 1'!L49,0)</f>
        <v/>
      </c>
    </row>
    <row r="48" hidden="1" outlineLevel="1" s="70">
      <c r="B48" t="inlineStr">
        <is>
          <t>Reserves</t>
        </is>
      </c>
      <c r="C48" s="77">
        <f>IFERROR('Data Sheet 1'!B50,0)</f>
        <v/>
      </c>
      <c r="D48" s="77">
        <f>IFERROR('Data Sheet 1'!C50,0)</f>
        <v/>
      </c>
      <c r="E48" s="77">
        <f>IFERROR('Data Sheet 1'!D50,0)</f>
        <v/>
      </c>
      <c r="F48" s="77">
        <f>IFERROR('Data Sheet 1'!E50,0)</f>
        <v/>
      </c>
      <c r="G48" s="77">
        <f>IFERROR('Data Sheet 1'!F50,0)</f>
        <v/>
      </c>
      <c r="H48" s="77">
        <f>IFERROR('Data Sheet 1'!G50,0)</f>
        <v/>
      </c>
      <c r="I48" s="77">
        <f>IFERROR('Data Sheet 1'!H50,0)</f>
        <v/>
      </c>
      <c r="J48" s="77">
        <f>IFERROR('Data Sheet 1'!I50,0)</f>
        <v/>
      </c>
      <c r="K48" s="77">
        <f>IFERROR('Data Sheet 1'!J50,0)</f>
        <v/>
      </c>
      <c r="L48" s="77">
        <f>IFERROR('Data Sheet 1'!K50,0)</f>
        <v/>
      </c>
      <c r="M48" s="77">
        <f>IFERROR('Data Sheet 1'!L50,0)</f>
        <v/>
      </c>
    </row>
    <row r="49" hidden="1" outlineLevel="1" s="70">
      <c r="B49" t="inlineStr">
        <is>
          <t>Borrowings</t>
        </is>
      </c>
      <c r="C49" s="77">
        <f>IFERROR('Data Sheet 1'!B51,0)</f>
        <v/>
      </c>
      <c r="D49" s="77">
        <f>IFERROR('Data Sheet 1'!C51,0)</f>
        <v/>
      </c>
      <c r="E49" s="77">
        <f>IFERROR('Data Sheet 1'!D51,0)</f>
        <v/>
      </c>
      <c r="F49" s="77">
        <f>IFERROR('Data Sheet 1'!E51,0)</f>
        <v/>
      </c>
      <c r="G49" s="77">
        <f>IFERROR('Data Sheet 1'!F51,0)</f>
        <v/>
      </c>
      <c r="H49" s="77">
        <f>IFERROR('Data Sheet 1'!G51,0)</f>
        <v/>
      </c>
      <c r="I49" s="77">
        <f>IFERROR('Data Sheet 1'!H51,0)</f>
        <v/>
      </c>
      <c r="J49" s="77">
        <f>IFERROR('Data Sheet 1'!I51,0)</f>
        <v/>
      </c>
      <c r="K49" s="77">
        <f>IFERROR('Data Sheet 1'!J51,0)</f>
        <v/>
      </c>
      <c r="L49" s="77">
        <f>IFERROR('Data Sheet 1'!K51,0)</f>
        <v/>
      </c>
      <c r="M49" s="77">
        <f>IFERROR('Data Sheet 1'!L51,0)</f>
        <v/>
      </c>
    </row>
    <row r="50" hidden="1" outlineLevel="1" s="70">
      <c r="B50" t="inlineStr">
        <is>
          <t>Other Liabilities</t>
        </is>
      </c>
      <c r="C50" s="77">
        <f>IFERROR('Data Sheet 1'!B52,0)</f>
        <v/>
      </c>
      <c r="D50" s="77">
        <f>IFERROR('Data Sheet 1'!C52,0)</f>
        <v/>
      </c>
      <c r="E50" s="77">
        <f>IFERROR('Data Sheet 1'!D52,0)</f>
        <v/>
      </c>
      <c r="F50" s="77">
        <f>IFERROR('Data Sheet 1'!E52,0)</f>
        <v/>
      </c>
      <c r="G50" s="77">
        <f>IFERROR('Data Sheet 1'!F52,0)</f>
        <v/>
      </c>
      <c r="H50" s="77">
        <f>IFERROR('Data Sheet 1'!G52,0)</f>
        <v/>
      </c>
      <c r="I50" s="77">
        <f>IFERROR('Data Sheet 1'!H52,0)</f>
        <v/>
      </c>
      <c r="J50" s="77">
        <f>IFERROR('Data Sheet 1'!I52,0)</f>
        <v/>
      </c>
      <c r="K50" s="77">
        <f>IFERROR('Data Sheet 1'!J52,0)</f>
        <v/>
      </c>
      <c r="L50" s="77">
        <f>IFERROR('Data Sheet 1'!K52,0)</f>
        <v/>
      </c>
      <c r="M50" s="77">
        <f>IFERROR('Data Sheet 1'!L52,0)</f>
        <v/>
      </c>
    </row>
    <row r="51" hidden="1" outlineLevel="1" s="70">
      <c r="B51" s="25" t="inlineStr">
        <is>
          <t>Total Liabilities</t>
        </is>
      </c>
      <c r="C51" s="79">
        <f>IFERROR('Data Sheet 1'!B53,0)</f>
        <v/>
      </c>
      <c r="D51" s="79">
        <f>IFERROR('Data Sheet 1'!C53,0)</f>
        <v/>
      </c>
      <c r="E51" s="79">
        <f>IFERROR('Data Sheet 1'!D53,0)</f>
        <v/>
      </c>
      <c r="F51" s="79">
        <f>IFERROR('Data Sheet 1'!E53,0)</f>
        <v/>
      </c>
      <c r="G51" s="79">
        <f>IFERROR('Data Sheet 1'!F53,0)</f>
        <v/>
      </c>
      <c r="H51" s="79">
        <f>IFERROR('Data Sheet 1'!G53,0)</f>
        <v/>
      </c>
      <c r="I51" s="79">
        <f>IFERROR('Data Sheet 1'!H53,0)</f>
        <v/>
      </c>
      <c r="J51" s="79">
        <f>IFERROR('Data Sheet 1'!I53,0)</f>
        <v/>
      </c>
      <c r="K51" s="79">
        <f>IFERROR('Data Sheet 1'!J53,0)</f>
        <v/>
      </c>
      <c r="L51" s="79">
        <f>IFERROR('Data Sheet 1'!K53,0)</f>
        <v/>
      </c>
      <c r="M51" s="79">
        <f>IFERROR('Data Sheet 1'!L53,0)</f>
        <v/>
      </c>
    </row>
    <row r="52" hidden="1" outlineLevel="1" s="70">
      <c r="B52" s="16" t="n"/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</row>
    <row r="53" hidden="1" outlineLevel="1" s="70">
      <c r="B53" t="inlineStr">
        <is>
          <t>Fixed Assets Net Block</t>
        </is>
      </c>
      <c r="C53" s="77">
        <f>IFERROR('Data Sheet 1'!B54,0)</f>
        <v/>
      </c>
      <c r="D53" s="77">
        <f>IFERROR('Data Sheet 1'!C54,0)</f>
        <v/>
      </c>
      <c r="E53" s="77">
        <f>IFERROR('Data Sheet 1'!D54,0)</f>
        <v/>
      </c>
      <c r="F53" s="77">
        <f>IFERROR('Data Sheet 1'!E54,0)</f>
        <v/>
      </c>
      <c r="G53" s="77">
        <f>IFERROR('Data Sheet 1'!F54,0)</f>
        <v/>
      </c>
      <c r="H53" s="77">
        <f>IFERROR('Data Sheet 1'!G54,0)</f>
        <v/>
      </c>
      <c r="I53" s="77">
        <f>IFERROR('Data Sheet 1'!H54,0)</f>
        <v/>
      </c>
      <c r="J53" s="77">
        <f>IFERROR('Data Sheet 1'!I54,0)</f>
        <v/>
      </c>
      <c r="K53" s="77">
        <f>IFERROR('Data Sheet 1'!J54,0)</f>
        <v/>
      </c>
      <c r="L53" s="77">
        <f>IFERROR('Data Sheet 1'!K54,0)</f>
        <v/>
      </c>
      <c r="M53" s="77">
        <f>IFERROR('Data Sheet 1'!L54,0)</f>
        <v/>
      </c>
    </row>
    <row r="54" hidden="1" outlineLevel="1" s="70">
      <c r="B54" t="inlineStr">
        <is>
          <t>Capital Work in Progress</t>
        </is>
      </c>
      <c r="C54" s="77">
        <f>IFERROR('Data Sheet 1'!B55,0)</f>
        <v/>
      </c>
      <c r="D54" s="77">
        <f>IFERROR('Data Sheet 1'!C55,0)</f>
        <v/>
      </c>
      <c r="E54" s="77">
        <f>IFERROR('Data Sheet 1'!D55,0)</f>
        <v/>
      </c>
      <c r="F54" s="77">
        <f>IFERROR('Data Sheet 1'!E55,0)</f>
        <v/>
      </c>
      <c r="G54" s="77">
        <f>IFERROR('Data Sheet 1'!F55,0)</f>
        <v/>
      </c>
      <c r="H54" s="77">
        <f>IFERROR('Data Sheet 1'!G55,0)</f>
        <v/>
      </c>
      <c r="I54" s="77">
        <f>IFERROR('Data Sheet 1'!H55,0)</f>
        <v/>
      </c>
      <c r="J54" s="77">
        <f>IFERROR('Data Sheet 1'!I55,0)</f>
        <v/>
      </c>
      <c r="K54" s="77">
        <f>IFERROR('Data Sheet 1'!J55,0)</f>
        <v/>
      </c>
      <c r="L54" s="77">
        <f>IFERROR('Data Sheet 1'!K55,0)</f>
        <v/>
      </c>
      <c r="M54" s="77">
        <f>IFERROR('Data Sheet 1'!L55,0)</f>
        <v/>
      </c>
    </row>
    <row r="55" hidden="1" outlineLevel="1" s="70">
      <c r="B55" t="inlineStr">
        <is>
          <t>Investments</t>
        </is>
      </c>
      <c r="C55" s="77">
        <f>IFERROR('Data Sheet 1'!B56,0)</f>
        <v/>
      </c>
      <c r="D55" s="77">
        <f>IFERROR('Data Sheet 1'!C56,0)</f>
        <v/>
      </c>
      <c r="E55" s="77">
        <f>IFERROR('Data Sheet 1'!D56,0)</f>
        <v/>
      </c>
      <c r="F55" s="77">
        <f>IFERROR('Data Sheet 1'!E56,0)</f>
        <v/>
      </c>
      <c r="G55" s="77">
        <f>IFERROR('Data Sheet 1'!F56,0)</f>
        <v/>
      </c>
      <c r="H55" s="77">
        <f>IFERROR('Data Sheet 1'!G56,0)</f>
        <v/>
      </c>
      <c r="I55" s="77">
        <f>IFERROR('Data Sheet 1'!H56,0)</f>
        <v/>
      </c>
      <c r="J55" s="77">
        <f>IFERROR('Data Sheet 1'!I56,0)</f>
        <v/>
      </c>
      <c r="K55" s="77">
        <f>IFERROR('Data Sheet 1'!J56,0)</f>
        <v/>
      </c>
      <c r="L55" s="77">
        <f>IFERROR('Data Sheet 1'!K56,0)</f>
        <v/>
      </c>
      <c r="M55" s="77">
        <f>IFERROR('Data Sheet 1'!L56,0)</f>
        <v/>
      </c>
    </row>
    <row r="56" hidden="1" outlineLevel="1" s="70">
      <c r="B56" t="inlineStr">
        <is>
          <t>Other Assets</t>
        </is>
      </c>
      <c r="C56" s="77">
        <f>IFERROR('Data Sheet 1'!B57-SUM('Data Sheet 1'!B59:B61),0)</f>
        <v/>
      </c>
      <c r="D56" s="77">
        <f>IFERROR('Data Sheet 1'!C57-SUM('Data Sheet 1'!C59:C61),0)</f>
        <v/>
      </c>
      <c r="E56" s="77">
        <f>IFERROR('Data Sheet 1'!D57-SUM('Data Sheet 1'!D59:D61),0)</f>
        <v/>
      </c>
      <c r="F56" s="77">
        <f>IFERROR('Data Sheet 1'!E57-SUM('Data Sheet 1'!E59:E61),0)</f>
        <v/>
      </c>
      <c r="G56" s="77">
        <f>IFERROR('Data Sheet 1'!F57-SUM('Data Sheet 1'!F59:F61),0)</f>
        <v/>
      </c>
      <c r="H56" s="77">
        <f>IFERROR('Data Sheet 1'!G57-SUM('Data Sheet 1'!G59:G61),0)</f>
        <v/>
      </c>
      <c r="I56" s="77">
        <f>IFERROR('Data Sheet 1'!H57-SUM('Data Sheet 1'!H59:H61),0)</f>
        <v/>
      </c>
      <c r="J56" s="77">
        <f>IFERROR('Data Sheet 1'!I57-SUM('Data Sheet 1'!I59:I61),0)</f>
        <v/>
      </c>
      <c r="K56" s="77">
        <f>IFERROR('Data Sheet 1'!J57-SUM('Data Sheet 1'!J59:J61),0)</f>
        <v/>
      </c>
      <c r="L56" s="77">
        <f>IFERROR('Data Sheet 1'!K57-SUM('Data Sheet 1'!K59:K61),0)</f>
        <v/>
      </c>
      <c r="M56" s="77">
        <f>IFERROR('Data Sheet 1'!L57-SUM('Data Sheet 1'!L59:L61),0)</f>
        <v/>
      </c>
    </row>
    <row r="57" hidden="1" outlineLevel="1" s="70">
      <c r="B57" s="25" t="inlineStr">
        <is>
          <t>Total Non Current Assets</t>
        </is>
      </c>
      <c r="C57" s="79">
        <f>IFERROR(SUM(C53:C56),0)</f>
        <v/>
      </c>
      <c r="D57" s="79">
        <f>IFERROR(SUM(D53:D56),0)</f>
        <v/>
      </c>
      <c r="E57" s="79">
        <f>IFERROR(SUM(E53:E56),0)</f>
        <v/>
      </c>
      <c r="F57" s="79">
        <f>IFERROR(SUM(F53:F56),0)</f>
        <v/>
      </c>
      <c r="G57" s="79">
        <f>IFERROR(SUM(G53:G56),0)</f>
        <v/>
      </c>
      <c r="H57" s="79">
        <f>IFERROR(SUM(H53:H56),0)</f>
        <v/>
      </c>
      <c r="I57" s="79">
        <f>IFERROR(SUM(I53:I56),0)</f>
        <v/>
      </c>
      <c r="J57" s="79">
        <f>IFERROR(SUM(J53:J56),0)</f>
        <v/>
      </c>
      <c r="K57" s="79">
        <f>IFERROR(SUM(K53:K56),0)</f>
        <v/>
      </c>
      <c r="L57" s="79">
        <f>IFERROR(SUM(L53:L56),0)</f>
        <v/>
      </c>
      <c r="M57" s="79">
        <f>IFERROR(SUM(M53:M56),0)</f>
        <v/>
      </c>
    </row>
    <row r="58" hidden="1" outlineLevel="1" s="70">
      <c r="B58" s="16" t="n"/>
    </row>
    <row r="59" hidden="1" outlineLevel="1" s="70">
      <c r="B59" t="inlineStr">
        <is>
          <t>Receivables</t>
        </is>
      </c>
      <c r="C59" s="77">
        <f>IFERROR('Data Sheet 1'!B59,0)</f>
        <v/>
      </c>
      <c r="D59" s="77">
        <f>IFERROR('Data Sheet 1'!C59,0)</f>
        <v/>
      </c>
      <c r="E59" s="77">
        <f>IFERROR('Data Sheet 1'!D59,0)</f>
        <v/>
      </c>
      <c r="F59" s="77">
        <f>IFERROR('Data Sheet 1'!E59,0)</f>
        <v/>
      </c>
      <c r="G59" s="77">
        <f>IFERROR('Data Sheet 1'!F59,0)</f>
        <v/>
      </c>
      <c r="H59" s="77">
        <f>IFERROR('Data Sheet 1'!G59,0)</f>
        <v/>
      </c>
      <c r="I59" s="77">
        <f>IFERROR('Data Sheet 1'!H59,0)</f>
        <v/>
      </c>
      <c r="J59" s="77">
        <f>IFERROR('Data Sheet 1'!I59,0)</f>
        <v/>
      </c>
      <c r="K59" s="77">
        <f>IFERROR('Data Sheet 1'!J59,0)</f>
        <v/>
      </c>
      <c r="L59" s="77">
        <f>IFERROR('Data Sheet 1'!K59,0)</f>
        <v/>
      </c>
    </row>
    <row r="60" hidden="1" outlineLevel="1" s="70">
      <c r="B60" t="inlineStr">
        <is>
          <t>Inventory</t>
        </is>
      </c>
      <c r="C60" s="77">
        <f>IFERROR('Data Sheet 1'!B60,0)</f>
        <v/>
      </c>
      <c r="D60" s="77">
        <f>IFERROR('Data Sheet 1'!C60,0)</f>
        <v/>
      </c>
      <c r="E60" s="77">
        <f>IFERROR('Data Sheet 1'!D60,0)</f>
        <v/>
      </c>
      <c r="F60" s="77">
        <f>IFERROR('Data Sheet 1'!E60,0)</f>
        <v/>
      </c>
      <c r="G60" s="77">
        <f>IFERROR('Data Sheet 1'!F60,0)</f>
        <v/>
      </c>
      <c r="H60" s="77">
        <f>IFERROR('Data Sheet 1'!G60,0)</f>
        <v/>
      </c>
      <c r="I60" s="77">
        <f>IFERROR('Data Sheet 1'!H60,0)</f>
        <v/>
      </c>
      <c r="J60" s="77">
        <f>IFERROR('Data Sheet 1'!I60,0)</f>
        <v/>
      </c>
      <c r="K60" s="77">
        <f>IFERROR('Data Sheet 1'!J60,0)</f>
        <v/>
      </c>
      <c r="L60" s="77">
        <f>IFERROR('Data Sheet 1'!K60,0)</f>
        <v/>
      </c>
    </row>
    <row r="61" hidden="1" outlineLevel="1" s="70">
      <c r="B61" t="inlineStr">
        <is>
          <t>Cash &amp; Bank</t>
        </is>
      </c>
      <c r="C61" s="77">
        <f>IFERROR('Data Sheet 1'!B61,0)</f>
        <v/>
      </c>
      <c r="D61" s="77">
        <f>IFERROR('Data Sheet 1'!C61,0)</f>
        <v/>
      </c>
      <c r="E61" s="77">
        <f>IFERROR('Data Sheet 1'!D61,0)</f>
        <v/>
      </c>
      <c r="F61" s="77">
        <f>IFERROR('Data Sheet 1'!E61,0)</f>
        <v/>
      </c>
      <c r="G61" s="77">
        <f>IFERROR('Data Sheet 1'!F61,0)</f>
        <v/>
      </c>
      <c r="H61" s="77">
        <f>IFERROR('Data Sheet 1'!G61,0)</f>
        <v/>
      </c>
      <c r="I61" s="77">
        <f>IFERROR('Data Sheet 1'!H61,0)</f>
        <v/>
      </c>
      <c r="J61" s="77">
        <f>IFERROR('Data Sheet 1'!I61,0)</f>
        <v/>
      </c>
      <c r="K61" s="77">
        <f>IFERROR('Data Sheet 1'!J61,0)</f>
        <v/>
      </c>
      <c r="L61" s="77">
        <f>IFERROR('Data Sheet 1'!K61,0)</f>
        <v/>
      </c>
    </row>
    <row r="62" hidden="1" outlineLevel="1" s="70">
      <c r="B62" s="25" t="inlineStr">
        <is>
          <t xml:space="preserve">Total Current Assets </t>
        </is>
      </c>
      <c r="C62" s="79">
        <f>IFERROR(SUM(C59:C61),0)</f>
        <v/>
      </c>
      <c r="D62" s="79">
        <f>IFERROR(SUM(D59:D61),0)</f>
        <v/>
      </c>
      <c r="E62" s="79">
        <f>IFERROR(SUM(E59:E61),0)</f>
        <v/>
      </c>
      <c r="F62" s="79">
        <f>IFERROR(SUM(F59:F61),0)</f>
        <v/>
      </c>
      <c r="G62" s="79">
        <f>IFERROR(SUM(G59:G61),0)</f>
        <v/>
      </c>
      <c r="H62" s="79">
        <f>IFERROR(SUM(H59:H61),0)</f>
        <v/>
      </c>
      <c r="I62" s="79">
        <f>IFERROR(SUM(I59:I61),0)</f>
        <v/>
      </c>
      <c r="J62" s="79">
        <f>IFERROR(SUM(J59:J61),0)</f>
        <v/>
      </c>
      <c r="K62" s="79">
        <f>IFERROR(SUM(K59:K61),0)</f>
        <v/>
      </c>
      <c r="L62" s="79">
        <f>IFERROR(SUM(L59:L61),0)</f>
        <v/>
      </c>
      <c r="M62" s="24" t="n"/>
    </row>
    <row r="63" hidden="1" outlineLevel="1" s="70"/>
    <row r="64" hidden="1" outlineLevel="1" s="70">
      <c r="B64" s="25" t="inlineStr">
        <is>
          <t>Total Assets</t>
        </is>
      </c>
      <c r="C64" s="79">
        <f>IFERROR(C62+C57,0)</f>
        <v/>
      </c>
      <c r="D64" s="79">
        <f>IFERROR(D62+D57,0)</f>
        <v/>
      </c>
      <c r="E64" s="79">
        <f>IFERROR(E62+E57,0)</f>
        <v/>
      </c>
      <c r="F64" s="79">
        <f>IFERROR(F62+F57,0)</f>
        <v/>
      </c>
      <c r="G64" s="79">
        <f>IFERROR(G62+G57,0)</f>
        <v/>
      </c>
      <c r="H64" s="79">
        <f>IFERROR(H62+H57,0)</f>
        <v/>
      </c>
      <c r="I64" s="79">
        <f>IFERROR(I62+I57,0)</f>
        <v/>
      </c>
      <c r="J64" s="79">
        <f>IFERROR(J62+J57,0)</f>
        <v/>
      </c>
      <c r="K64" s="79">
        <f>IFERROR(K62+K57,0)</f>
        <v/>
      </c>
      <c r="L64" s="79">
        <f>IFERROR(L62+L57,0)</f>
        <v/>
      </c>
      <c r="M64" s="24" t="n"/>
    </row>
    <row r="65" hidden="1" outlineLevel="1" s="70"/>
    <row r="66" hidden="1" outlineLevel="1" s="70">
      <c r="B66" s="17" t="inlineStr">
        <is>
          <t>Check</t>
        </is>
      </c>
      <c r="C66" s="8">
        <f>C64=C51</f>
        <v/>
      </c>
      <c r="D66" s="8">
        <f>D64=D51</f>
        <v/>
      </c>
      <c r="E66" s="8">
        <f>E64=E51</f>
        <v/>
      </c>
      <c r="F66" s="8">
        <f>F64=F51</f>
        <v/>
      </c>
      <c r="G66" s="8">
        <f>G64=G51</f>
        <v/>
      </c>
      <c r="H66" s="8">
        <f>H64=H51</f>
        <v/>
      </c>
      <c r="I66" s="8">
        <f>I64=I51</f>
        <v/>
      </c>
      <c r="J66" s="8">
        <f>J64=J51</f>
        <v/>
      </c>
      <c r="K66" s="8">
        <f>K64=K51</f>
        <v/>
      </c>
      <c r="L66" s="8">
        <f>L64=L51</f>
        <v/>
      </c>
    </row>
    <row r="67" collapsed="1" s="70"/>
    <row r="68">
      <c r="A68" t="inlineStr">
        <is>
          <t xml:space="preserve"> #</t>
        </is>
      </c>
      <c r="B68" s="15" t="inlineStr">
        <is>
          <t>Cash Flow Statement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</row>
    <row r="69" hidden="1" outlineLevel="1" s="70">
      <c r="B69" s="16" t="inlineStr">
        <is>
          <t>Operating Activities</t>
        </is>
      </c>
    </row>
    <row r="70" hidden="1" outlineLevel="1" s="70">
      <c r="B70" t="inlineStr">
        <is>
          <t>Profit from operations</t>
        </is>
      </c>
      <c r="C70" s="77">
        <f>IFERROR('Cash flow Data'!D4,0)</f>
        <v/>
      </c>
      <c r="D70" s="77">
        <f>IFERROR('Cash flow Data'!E4,0)</f>
        <v/>
      </c>
      <c r="E70" s="77">
        <f>IFERROR('Cash flow Data'!F4,0)</f>
        <v/>
      </c>
      <c r="F70" s="77">
        <f>IFERROR('Cash flow Data'!G4,0)</f>
        <v/>
      </c>
      <c r="G70" s="77">
        <f>IFERROR('Cash flow Data'!H4,0)</f>
        <v/>
      </c>
      <c r="H70" s="77">
        <f>IFERROR('Cash flow Data'!I4,0)</f>
        <v/>
      </c>
      <c r="I70" s="77">
        <f>IFERROR('Cash flow Data'!J4,0)</f>
        <v/>
      </c>
      <c r="J70" s="77">
        <f>IFERROR('Cash flow Data'!K4,0)</f>
        <v/>
      </c>
      <c r="K70" s="77">
        <f>IFERROR('Cash flow Data'!L4,0)</f>
        <v/>
      </c>
      <c r="L70" s="77">
        <f>IFERROR('Cash flow Data'!M4,0)</f>
        <v/>
      </c>
    </row>
    <row r="71" hidden="1" outlineLevel="1" s="70">
      <c r="B71" t="inlineStr">
        <is>
          <t>Receivables</t>
        </is>
      </c>
      <c r="C71" s="77">
        <f>IFERROR('Cash flow Data'!D5,0)</f>
        <v/>
      </c>
      <c r="D71" s="77">
        <f>IFERROR('Cash flow Data'!E5,0)</f>
        <v/>
      </c>
      <c r="E71" s="77">
        <f>IFERROR('Cash flow Data'!F5,0)</f>
        <v/>
      </c>
      <c r="F71" s="77">
        <f>IFERROR('Cash flow Data'!G5,0)</f>
        <v/>
      </c>
      <c r="G71" s="77">
        <f>IFERROR('Cash flow Data'!H5,0)</f>
        <v/>
      </c>
      <c r="H71" s="77">
        <f>IFERROR('Cash flow Data'!I5,0)</f>
        <v/>
      </c>
      <c r="I71" s="77">
        <f>IFERROR('Cash flow Data'!J5,0)</f>
        <v/>
      </c>
      <c r="J71" s="77">
        <f>IFERROR('Cash flow Data'!K5,0)</f>
        <v/>
      </c>
      <c r="K71" s="77">
        <f>IFERROR('Cash flow Data'!L5,0)</f>
        <v/>
      </c>
      <c r="L71" s="77">
        <f>IFERROR('Cash flow Data'!M5,0)</f>
        <v/>
      </c>
    </row>
    <row r="72" hidden="1" outlineLevel="1" s="70">
      <c r="B72" t="inlineStr">
        <is>
          <t>Inventory</t>
        </is>
      </c>
      <c r="C72" s="77">
        <f>IFERROR('Cash flow Data'!D6,0)</f>
        <v/>
      </c>
      <c r="D72" s="77">
        <f>IFERROR('Cash flow Data'!E6,0)</f>
        <v/>
      </c>
      <c r="E72" s="77">
        <f>IFERROR('Cash flow Data'!F6,0)</f>
        <v/>
      </c>
      <c r="F72" s="77">
        <f>IFERROR('Cash flow Data'!G6,0)</f>
        <v/>
      </c>
      <c r="G72" s="77">
        <f>IFERROR('Cash flow Data'!H6,0)</f>
        <v/>
      </c>
      <c r="H72" s="77">
        <f>IFERROR('Cash flow Data'!I6,0)</f>
        <v/>
      </c>
      <c r="I72" s="77">
        <f>IFERROR('Cash flow Data'!J6,0)</f>
        <v/>
      </c>
      <c r="J72" s="77">
        <f>IFERROR('Cash flow Data'!K6,0)</f>
        <v/>
      </c>
      <c r="K72" s="77">
        <f>IFERROR('Cash flow Data'!L6,0)</f>
        <v/>
      </c>
      <c r="L72" s="77">
        <f>IFERROR('Cash flow Data'!M6,0)</f>
        <v/>
      </c>
    </row>
    <row r="73" hidden="1" outlineLevel="1" s="70">
      <c r="B73" t="inlineStr">
        <is>
          <t>Payables</t>
        </is>
      </c>
      <c r="C73" s="77">
        <f>IFERROR('Cash flow Data'!D7,0)</f>
        <v/>
      </c>
      <c r="D73" s="77">
        <f>IFERROR('Cash flow Data'!E7,0)</f>
        <v/>
      </c>
      <c r="E73" s="77">
        <f>IFERROR('Cash flow Data'!F7,0)</f>
        <v/>
      </c>
      <c r="F73" s="77">
        <f>IFERROR('Cash flow Data'!G7,0)</f>
        <v/>
      </c>
      <c r="G73" s="77">
        <f>IFERROR('Cash flow Data'!H7,0)</f>
        <v/>
      </c>
      <c r="H73" s="77">
        <f>IFERROR('Cash flow Data'!I7,0)</f>
        <v/>
      </c>
      <c r="I73" s="77">
        <f>IFERROR('Cash flow Data'!J7,0)</f>
        <v/>
      </c>
      <c r="J73" s="77">
        <f>IFERROR('Cash flow Data'!K7,0)</f>
        <v/>
      </c>
      <c r="K73" s="77">
        <f>IFERROR('Cash flow Data'!L7,0)</f>
        <v/>
      </c>
      <c r="L73" s="77">
        <f>IFERROR('Cash flow Data'!M7,0)</f>
        <v/>
      </c>
    </row>
    <row r="74" hidden="1" outlineLevel="1" s="70">
      <c r="B74" t="inlineStr">
        <is>
          <t>Loans Advances</t>
        </is>
      </c>
      <c r="C74" s="77">
        <f>IFERROR('Cash flow Data'!D8,0)</f>
        <v/>
      </c>
      <c r="D74" s="77">
        <f>IFERROR('Cash flow Data'!E8,0)</f>
        <v/>
      </c>
      <c r="E74" s="77">
        <f>IFERROR('Cash flow Data'!F8,0)</f>
        <v/>
      </c>
      <c r="F74" s="77">
        <f>IFERROR('Cash flow Data'!G8,0)</f>
        <v/>
      </c>
      <c r="G74" s="77">
        <f>IFERROR('Cash flow Data'!H8,0)</f>
        <v/>
      </c>
      <c r="H74" s="77">
        <f>IFERROR('Cash flow Data'!I8,0)</f>
        <v/>
      </c>
      <c r="I74" s="77">
        <f>IFERROR('Cash flow Data'!J8,0)</f>
        <v/>
      </c>
      <c r="J74" s="77">
        <f>IFERROR('Cash flow Data'!K8,0)</f>
        <v/>
      </c>
      <c r="K74" s="77">
        <f>IFERROR('Cash flow Data'!L8,0)</f>
        <v/>
      </c>
      <c r="L74" s="77">
        <f>IFERROR('Cash flow Data'!M8,0)</f>
        <v/>
      </c>
    </row>
    <row r="75" hidden="1" outlineLevel="1" s="70">
      <c r="B75" t="inlineStr">
        <is>
          <t>Other WC items</t>
        </is>
      </c>
      <c r="C75" s="77">
        <f>IFERROR('Cash flow Data'!D9,0)</f>
        <v/>
      </c>
      <c r="D75" s="77">
        <f>IFERROR('Cash flow Data'!E9,0)</f>
        <v/>
      </c>
      <c r="E75" s="77">
        <f>IFERROR('Cash flow Data'!F9,0)</f>
        <v/>
      </c>
      <c r="F75" s="77">
        <f>IFERROR('Cash flow Data'!G9,0)</f>
        <v/>
      </c>
      <c r="G75" s="77">
        <f>IFERROR('Cash flow Data'!H9,0)</f>
        <v/>
      </c>
      <c r="H75" s="77">
        <f>IFERROR('Cash flow Data'!I9,0)</f>
        <v/>
      </c>
      <c r="I75" s="77">
        <f>IFERROR('Cash flow Data'!J9,0)</f>
        <v/>
      </c>
      <c r="J75" s="77">
        <f>IFERROR('Cash flow Data'!K9,0)</f>
        <v/>
      </c>
      <c r="K75" s="77">
        <f>IFERROR('Cash flow Data'!L9,0)</f>
        <v/>
      </c>
      <c r="L75" s="77">
        <f>IFERROR('Cash flow Data'!M9,0)</f>
        <v/>
      </c>
    </row>
    <row r="76" hidden="1" outlineLevel="1" s="70">
      <c r="B76" t="inlineStr">
        <is>
          <t>Working capital changes</t>
        </is>
      </c>
      <c r="C76" s="77">
        <f>IFERROR('Cash flow Data'!D10,0)</f>
        <v/>
      </c>
      <c r="D76" s="77">
        <f>IFERROR('Cash flow Data'!E10,0)</f>
        <v/>
      </c>
      <c r="E76" s="77">
        <f>IFERROR('Cash flow Data'!F10,0)</f>
        <v/>
      </c>
      <c r="F76" s="77">
        <f>IFERROR('Cash flow Data'!G10,0)</f>
        <v/>
      </c>
      <c r="G76" s="77">
        <f>IFERROR('Cash flow Data'!H10,0)</f>
        <v/>
      </c>
      <c r="H76" s="77">
        <f>IFERROR('Cash flow Data'!I10,0)</f>
        <v/>
      </c>
      <c r="I76" s="77">
        <f>IFERROR('Cash flow Data'!J10,0)</f>
        <v/>
      </c>
      <c r="J76" s="77">
        <f>IFERROR('Cash flow Data'!K10,0)</f>
        <v/>
      </c>
      <c r="K76" s="77">
        <f>IFERROR('Cash flow Data'!L10,0)</f>
        <v/>
      </c>
      <c r="L76" s="77">
        <f>IFERROR('Cash flow Data'!M10,0)</f>
        <v/>
      </c>
    </row>
    <row r="77" hidden="1" outlineLevel="1" s="70">
      <c r="B77" t="inlineStr">
        <is>
          <t>Direct taxes</t>
        </is>
      </c>
      <c r="C77" s="77">
        <f>IFERROR('Cash flow Data'!D11,0)</f>
        <v/>
      </c>
      <c r="D77" s="77">
        <f>IFERROR('Cash flow Data'!E11,0)</f>
        <v/>
      </c>
      <c r="E77" s="77">
        <f>IFERROR('Cash flow Data'!F11,0)</f>
        <v/>
      </c>
      <c r="F77" s="77">
        <f>IFERROR('Cash flow Data'!G11,0)</f>
        <v/>
      </c>
      <c r="G77" s="77">
        <f>IFERROR('Cash flow Data'!H11,0)</f>
        <v/>
      </c>
      <c r="H77" s="77">
        <f>IFERROR('Cash flow Data'!I11,0)</f>
        <v/>
      </c>
      <c r="I77" s="77">
        <f>IFERROR('Cash flow Data'!J11,0)</f>
        <v/>
      </c>
      <c r="J77" s="77">
        <f>IFERROR('Cash flow Data'!K11,0)</f>
        <v/>
      </c>
      <c r="K77" s="77">
        <f>IFERROR('Cash flow Data'!L11,0)</f>
        <v/>
      </c>
      <c r="L77" s="77">
        <f>IFERROR('Cash flow Data'!M11,0)</f>
        <v/>
      </c>
    </row>
    <row r="78" hidden="1" outlineLevel="1" s="70">
      <c r="B78" s="16" t="inlineStr">
        <is>
          <t>Cash From Operating Activities</t>
        </is>
      </c>
      <c r="C78" s="80">
        <f>SUM(C70:C77)</f>
        <v/>
      </c>
      <c r="D78" s="80">
        <f>SUM(D70:D77)</f>
        <v/>
      </c>
      <c r="E78" s="80">
        <f>SUM(E70:E77)</f>
        <v/>
      </c>
      <c r="F78" s="80">
        <f>SUM(F70:F77)</f>
        <v/>
      </c>
      <c r="G78" s="80">
        <f>SUM(G70:G77)</f>
        <v/>
      </c>
      <c r="H78" s="80">
        <f>SUM(H70:H77)</f>
        <v/>
      </c>
      <c r="I78" s="80">
        <f>SUM(I70:I77)</f>
        <v/>
      </c>
      <c r="J78" s="80">
        <f>SUM(J70:J77)</f>
        <v/>
      </c>
      <c r="K78" s="80">
        <f>SUM(K70:K77)</f>
        <v/>
      </c>
      <c r="L78" s="80">
        <f>SUM(L70:L77)</f>
        <v/>
      </c>
    </row>
    <row r="79" hidden="1" outlineLevel="1" s="70"/>
    <row r="80" hidden="1" outlineLevel="1" s="70">
      <c r="B80" s="16" t="inlineStr">
        <is>
          <t>Investing Activities</t>
        </is>
      </c>
    </row>
    <row r="81" hidden="1" outlineLevel="1" s="70">
      <c r="B81" s="22" t="inlineStr">
        <is>
          <t>Fixed assets purchased</t>
        </is>
      </c>
      <c r="C81" s="77">
        <f>IFERROR('Cash flow Data'!D13,0)</f>
        <v/>
      </c>
      <c r="D81" s="77">
        <f>IFERROR('Cash flow Data'!E13,0)</f>
        <v/>
      </c>
      <c r="E81" s="77">
        <f>IFERROR('Cash flow Data'!F13,0)</f>
        <v/>
      </c>
      <c r="F81" s="77">
        <f>IFERROR('Cash flow Data'!G13,0)</f>
        <v/>
      </c>
      <c r="G81" s="77">
        <f>IFERROR('Cash flow Data'!H13,0)</f>
        <v/>
      </c>
      <c r="H81" s="77">
        <f>IFERROR('Cash flow Data'!I13,0)</f>
        <v/>
      </c>
      <c r="I81" s="77">
        <f>IFERROR('Cash flow Data'!J13,0)</f>
        <v/>
      </c>
      <c r="J81" s="77">
        <f>IFERROR('Cash flow Data'!K13,0)</f>
        <v/>
      </c>
      <c r="K81" s="77">
        <f>IFERROR('Cash flow Data'!L13,0)</f>
        <v/>
      </c>
      <c r="L81" s="77">
        <f>IFERROR('Cash flow Data'!M13,0)</f>
        <v/>
      </c>
      <c r="M81" s="77">
        <f>IFERROR('Cash flow Data'!N13,0)</f>
        <v/>
      </c>
    </row>
    <row r="82" hidden="1" outlineLevel="1" s="70">
      <c r="B82" s="22" t="inlineStr">
        <is>
          <t>Fixed assets sold</t>
        </is>
      </c>
      <c r="C82" s="77">
        <f>IFERROR('Cash flow Data'!D14,0)</f>
        <v/>
      </c>
      <c r="D82" s="77">
        <f>IFERROR('Cash flow Data'!E14,0)</f>
        <v/>
      </c>
      <c r="E82" s="77">
        <f>IFERROR('Cash flow Data'!F14,0)</f>
        <v/>
      </c>
      <c r="F82" s="77">
        <f>IFERROR('Cash flow Data'!G14,0)</f>
        <v/>
      </c>
      <c r="G82" s="77">
        <f>IFERROR('Cash flow Data'!H14,0)</f>
        <v/>
      </c>
      <c r="H82" s="77">
        <f>IFERROR('Cash flow Data'!I14,0)</f>
        <v/>
      </c>
      <c r="I82" s="77">
        <f>IFERROR('Cash flow Data'!J14,0)</f>
        <v/>
      </c>
      <c r="J82" s="77">
        <f>IFERROR('Cash flow Data'!K14,0)</f>
        <v/>
      </c>
      <c r="K82" s="77">
        <f>IFERROR('Cash flow Data'!L14,0)</f>
        <v/>
      </c>
      <c r="L82" s="77">
        <f>IFERROR('Cash flow Data'!M14,0)</f>
        <v/>
      </c>
      <c r="M82" s="77">
        <f>IFERROR('Cash flow Data'!N14,0)</f>
        <v/>
      </c>
    </row>
    <row r="83" hidden="1" outlineLevel="1" s="70">
      <c r="B83" s="22" t="inlineStr">
        <is>
          <t>Investments purchased</t>
        </is>
      </c>
      <c r="C83" s="77">
        <f>IFERROR('Cash flow Data'!D15,0)</f>
        <v/>
      </c>
      <c r="D83" s="77">
        <f>IFERROR('Cash flow Data'!E15,0)</f>
        <v/>
      </c>
      <c r="E83" s="77">
        <f>IFERROR('Cash flow Data'!F15,0)</f>
        <v/>
      </c>
      <c r="F83" s="77">
        <f>IFERROR('Cash flow Data'!G15,0)</f>
        <v/>
      </c>
      <c r="G83" s="77">
        <f>IFERROR('Cash flow Data'!H15,0)</f>
        <v/>
      </c>
      <c r="H83" s="77">
        <f>IFERROR('Cash flow Data'!I15,0)</f>
        <v/>
      </c>
      <c r="I83" s="77">
        <f>IFERROR('Cash flow Data'!J15,0)</f>
        <v/>
      </c>
      <c r="J83" s="77">
        <f>IFERROR('Cash flow Data'!K15,0)</f>
        <v/>
      </c>
      <c r="K83" s="77">
        <f>IFERROR('Cash flow Data'!L15,0)</f>
        <v/>
      </c>
      <c r="L83" s="77">
        <f>IFERROR('Cash flow Data'!M15,0)</f>
        <v/>
      </c>
      <c r="M83" s="77">
        <f>IFERROR('Cash flow Data'!N15,0)</f>
        <v/>
      </c>
    </row>
    <row r="84" hidden="1" outlineLevel="1" s="70">
      <c r="B84" s="22" t="inlineStr">
        <is>
          <t>Investments sold</t>
        </is>
      </c>
      <c r="C84" s="77">
        <f>IFERROR('Cash flow Data'!D16,0)</f>
        <v/>
      </c>
      <c r="D84" s="77">
        <f>IFERROR('Cash flow Data'!E16,0)</f>
        <v/>
      </c>
      <c r="E84" s="77">
        <f>IFERROR('Cash flow Data'!F16,0)</f>
        <v/>
      </c>
      <c r="F84" s="77">
        <f>IFERROR('Cash flow Data'!G16,0)</f>
        <v/>
      </c>
      <c r="G84" s="77">
        <f>IFERROR('Cash flow Data'!H16,0)</f>
        <v/>
      </c>
      <c r="H84" s="77">
        <f>IFERROR('Cash flow Data'!I16,0)</f>
        <v/>
      </c>
      <c r="I84" s="77">
        <f>IFERROR('Cash flow Data'!J16,0)</f>
        <v/>
      </c>
      <c r="J84" s="77">
        <f>IFERROR('Cash flow Data'!K16,0)</f>
        <v/>
      </c>
      <c r="K84" s="77">
        <f>IFERROR('Cash flow Data'!L16,0)</f>
        <v/>
      </c>
      <c r="L84" s="77">
        <f>IFERROR('Cash flow Data'!M16,0)</f>
        <v/>
      </c>
      <c r="M84" s="77">
        <f>IFERROR('Cash flow Data'!N16,0)</f>
        <v/>
      </c>
    </row>
    <row r="85" hidden="1" outlineLevel="1" s="70">
      <c r="B85" s="22" t="inlineStr">
        <is>
          <t>Interest received</t>
        </is>
      </c>
      <c r="C85" s="77">
        <f>IFERROR('Cash flow Data'!D17,0)</f>
        <v/>
      </c>
      <c r="D85" s="77">
        <f>IFERROR('Cash flow Data'!E17,0)</f>
        <v/>
      </c>
      <c r="E85" s="77">
        <f>IFERROR('Cash flow Data'!F17,0)</f>
        <v/>
      </c>
      <c r="F85" s="77">
        <f>IFERROR('Cash flow Data'!G17,0)</f>
        <v/>
      </c>
      <c r="G85" s="77">
        <f>IFERROR('Cash flow Data'!H17,0)</f>
        <v/>
      </c>
      <c r="H85" s="77">
        <f>IFERROR('Cash flow Data'!I17,0)</f>
        <v/>
      </c>
      <c r="I85" s="77">
        <f>IFERROR('Cash flow Data'!J17,0)</f>
        <v/>
      </c>
      <c r="J85" s="77">
        <f>IFERROR('Cash flow Data'!K17,0)</f>
        <v/>
      </c>
      <c r="K85" s="77">
        <f>IFERROR('Cash flow Data'!L17,0)</f>
        <v/>
      </c>
      <c r="L85" s="77">
        <f>IFERROR('Cash flow Data'!M17,0)</f>
        <v/>
      </c>
      <c r="M85" s="77">
        <f>IFERROR('Cash flow Data'!N17,0)</f>
        <v/>
      </c>
    </row>
    <row r="86" hidden="1" outlineLevel="1" s="70">
      <c r="B86" s="22" t="inlineStr">
        <is>
          <t>Dividends received</t>
        </is>
      </c>
      <c r="C86" s="77">
        <f>IFERROR('Cash flow Data'!D18,0)</f>
        <v/>
      </c>
      <c r="D86" s="77">
        <f>IFERROR('Cash flow Data'!E18,0)</f>
        <v/>
      </c>
      <c r="E86" s="77">
        <f>IFERROR('Cash flow Data'!F18,0)</f>
        <v/>
      </c>
      <c r="F86" s="77">
        <f>IFERROR('Cash flow Data'!G18,0)</f>
        <v/>
      </c>
      <c r="G86" s="77">
        <f>IFERROR('Cash flow Data'!H18,0)</f>
        <v/>
      </c>
      <c r="H86" s="77">
        <f>IFERROR('Cash flow Data'!I18,0)</f>
        <v/>
      </c>
      <c r="I86" s="77">
        <f>IFERROR('Cash flow Data'!J18,0)</f>
        <v/>
      </c>
      <c r="J86" s="77">
        <f>IFERROR('Cash flow Data'!K18,0)</f>
        <v/>
      </c>
      <c r="K86" s="77">
        <f>IFERROR('Cash flow Data'!L18,0)</f>
        <v/>
      </c>
      <c r="L86" s="77">
        <f>IFERROR('Cash flow Data'!M18,0)</f>
        <v/>
      </c>
      <c r="M86" s="77">
        <f>IFERROR('Cash flow Data'!N18,0)</f>
        <v/>
      </c>
    </row>
    <row r="87" hidden="1" outlineLevel="1" s="70">
      <c r="B87" s="22" t="inlineStr">
        <is>
          <t>Invest in subsidiaries</t>
        </is>
      </c>
      <c r="C87" s="77">
        <f>IFERROR('Cash flow Data'!D19,0)</f>
        <v/>
      </c>
      <c r="D87" s="77">
        <f>IFERROR('Cash flow Data'!E19,0)</f>
        <v/>
      </c>
      <c r="E87" s="77">
        <f>IFERROR('Cash flow Data'!F19,0)</f>
        <v/>
      </c>
      <c r="F87" s="77">
        <f>IFERROR('Cash flow Data'!G19,0)</f>
        <v/>
      </c>
      <c r="G87" s="77">
        <f>IFERROR('Cash flow Data'!H19,0)</f>
        <v/>
      </c>
      <c r="H87" s="77">
        <f>IFERROR('Cash flow Data'!I19,0)</f>
        <v/>
      </c>
      <c r="I87" s="77">
        <f>IFERROR('Cash flow Data'!J19,0)</f>
        <v/>
      </c>
      <c r="J87" s="77">
        <f>IFERROR('Cash flow Data'!K19,0)</f>
        <v/>
      </c>
      <c r="K87" s="77">
        <f>IFERROR('Cash flow Data'!L19,0)</f>
        <v/>
      </c>
      <c r="L87" s="77">
        <f>IFERROR('Cash flow Data'!M19,0)</f>
        <v/>
      </c>
      <c r="M87" s="77">
        <f>IFERROR('Cash flow Data'!N19,0)</f>
        <v/>
      </c>
    </row>
    <row r="88" hidden="1" outlineLevel="1" s="70">
      <c r="B88" s="22" t="inlineStr">
        <is>
          <t>Investment in group cos</t>
        </is>
      </c>
      <c r="C88" s="77">
        <f>IFERROR('Cash flow Data'!D20,0)</f>
        <v/>
      </c>
      <c r="D88" s="77">
        <f>IFERROR('Cash flow Data'!E20,0)</f>
        <v/>
      </c>
      <c r="E88" s="77">
        <f>IFERROR('Cash flow Data'!F20,0)</f>
        <v/>
      </c>
      <c r="F88" s="77">
        <f>IFERROR('Cash flow Data'!G20,0)</f>
        <v/>
      </c>
      <c r="G88" s="77">
        <f>IFERROR('Cash flow Data'!H20,0)</f>
        <v/>
      </c>
      <c r="H88" s="77">
        <f>IFERROR('Cash flow Data'!I20,0)</f>
        <v/>
      </c>
      <c r="I88" s="77">
        <f>IFERROR('Cash flow Data'!J20,0)</f>
        <v/>
      </c>
      <c r="J88" s="77">
        <f>IFERROR('Cash flow Data'!K20,0)</f>
        <v/>
      </c>
      <c r="K88" s="77">
        <f>IFERROR('Cash flow Data'!L20,0)</f>
        <v/>
      </c>
      <c r="L88" s="77">
        <f>IFERROR('Cash flow Data'!M20,0)</f>
        <v/>
      </c>
      <c r="M88" s="77">
        <f>IFERROR('Cash flow Data'!N20,0)</f>
        <v/>
      </c>
    </row>
    <row r="89" hidden="1" outlineLevel="1" s="70">
      <c r="B89" s="22" t="inlineStr">
        <is>
          <t>Redemp n Canc of Shares</t>
        </is>
      </c>
      <c r="C89" s="77">
        <f>IFERROR('Cash flow Data'!D21,0)</f>
        <v/>
      </c>
      <c r="D89" s="77">
        <f>IFERROR('Cash flow Data'!E21,0)</f>
        <v/>
      </c>
      <c r="E89" s="77">
        <f>IFERROR('Cash flow Data'!F21,0)</f>
        <v/>
      </c>
      <c r="F89" s="77">
        <f>IFERROR('Cash flow Data'!G21,0)</f>
        <v/>
      </c>
      <c r="G89" s="77">
        <f>IFERROR('Cash flow Data'!H21,0)</f>
        <v/>
      </c>
      <c r="H89" s="77">
        <f>IFERROR('Cash flow Data'!I21,0)</f>
        <v/>
      </c>
      <c r="I89" s="77">
        <f>IFERROR('Cash flow Data'!J21,0)</f>
        <v/>
      </c>
      <c r="J89" s="77">
        <f>IFERROR('Cash flow Data'!K21,0)</f>
        <v/>
      </c>
      <c r="K89" s="77">
        <f>IFERROR('Cash flow Data'!L21,0)</f>
        <v/>
      </c>
      <c r="L89" s="77">
        <f>IFERROR('Cash flow Data'!M21,0)</f>
        <v/>
      </c>
      <c r="M89" s="77">
        <f>IFERROR('Cash flow Data'!N21,0)</f>
        <v/>
      </c>
    </row>
    <row r="90" hidden="1" outlineLevel="1" s="70">
      <c r="B90" s="22" t="inlineStr">
        <is>
          <t>Acquisition of companies</t>
        </is>
      </c>
      <c r="C90" s="77">
        <f>IFERROR('Cash flow Data'!D22,0)</f>
        <v/>
      </c>
      <c r="D90" s="77">
        <f>IFERROR('Cash flow Data'!E22,0)</f>
        <v/>
      </c>
      <c r="E90" s="77">
        <f>IFERROR('Cash flow Data'!F22,0)</f>
        <v/>
      </c>
      <c r="F90" s="77">
        <f>IFERROR('Cash flow Data'!G22,0)</f>
        <v/>
      </c>
      <c r="G90" s="77">
        <f>IFERROR('Cash flow Data'!H22,0)</f>
        <v/>
      </c>
      <c r="H90" s="77">
        <f>IFERROR('Cash flow Data'!I22,0)</f>
        <v/>
      </c>
      <c r="I90" s="77">
        <f>IFERROR('Cash flow Data'!J22,0)</f>
        <v/>
      </c>
      <c r="J90" s="77">
        <f>IFERROR('Cash flow Data'!K22,0)</f>
        <v/>
      </c>
      <c r="K90" s="77">
        <f>IFERROR('Cash flow Data'!L22,0)</f>
        <v/>
      </c>
      <c r="L90" s="77">
        <f>IFERROR('Cash flow Data'!M22,0)</f>
        <v/>
      </c>
      <c r="M90" s="77">
        <f>IFERROR('Cash flow Data'!N22,0)</f>
        <v/>
      </c>
    </row>
    <row r="91" hidden="1" outlineLevel="1" s="70">
      <c r="B91" s="22" t="inlineStr">
        <is>
          <t>Inter corporate deposits</t>
        </is>
      </c>
      <c r="C91" s="77">
        <f>IFERROR('Cash flow Data'!D23,0)</f>
        <v/>
      </c>
      <c r="D91" s="77">
        <f>IFERROR('Cash flow Data'!E23,0)</f>
        <v/>
      </c>
      <c r="E91" s="77">
        <f>IFERROR('Cash flow Data'!F23,0)</f>
        <v/>
      </c>
      <c r="F91" s="77">
        <f>IFERROR('Cash flow Data'!G23,0)</f>
        <v/>
      </c>
      <c r="G91" s="77">
        <f>IFERROR('Cash flow Data'!H23,0)</f>
        <v/>
      </c>
      <c r="H91" s="77">
        <f>IFERROR('Cash flow Data'!I23,0)</f>
        <v/>
      </c>
      <c r="I91" s="77">
        <f>IFERROR('Cash flow Data'!J23,0)</f>
        <v/>
      </c>
      <c r="J91" s="77">
        <f>IFERROR('Cash flow Data'!K23,0)</f>
        <v/>
      </c>
      <c r="K91" s="77">
        <f>IFERROR('Cash flow Data'!L23,0)</f>
        <v/>
      </c>
      <c r="L91" s="77">
        <f>IFERROR('Cash flow Data'!M23,0)</f>
        <v/>
      </c>
      <c r="M91" s="77">
        <f>IFERROR('Cash flow Data'!N23,0)</f>
        <v/>
      </c>
    </row>
    <row r="92" hidden="1" outlineLevel="1" s="70">
      <c r="B92" s="22" t="inlineStr">
        <is>
          <t>Other investing items</t>
        </is>
      </c>
      <c r="C92" s="77">
        <f>IFERROR('Cash flow Data'!D24,0)</f>
        <v/>
      </c>
      <c r="D92" s="77">
        <f>IFERROR('Cash flow Data'!E24,0)</f>
        <v/>
      </c>
      <c r="E92" s="77">
        <f>IFERROR('Cash flow Data'!F24,0)</f>
        <v/>
      </c>
      <c r="F92" s="77">
        <f>IFERROR('Cash flow Data'!G24,0)</f>
        <v/>
      </c>
      <c r="G92" s="77">
        <f>IFERROR('Cash flow Data'!H24,0)</f>
        <v/>
      </c>
      <c r="H92" s="77">
        <f>IFERROR('Cash flow Data'!I24,0)</f>
        <v/>
      </c>
      <c r="I92" s="77">
        <f>IFERROR('Cash flow Data'!J24,0)</f>
        <v/>
      </c>
      <c r="J92" s="77">
        <f>IFERROR('Cash flow Data'!K24,0)</f>
        <v/>
      </c>
      <c r="K92" s="77">
        <f>IFERROR('Cash flow Data'!L24,0)</f>
        <v/>
      </c>
      <c r="L92" s="77">
        <f>IFERROR('Cash flow Data'!M24,0)</f>
        <v/>
      </c>
      <c r="M92" s="77">
        <f>IFERROR('Cash flow Data'!N24,0)</f>
        <v/>
      </c>
    </row>
    <row r="93" hidden="1" outlineLevel="1" s="70">
      <c r="B93" s="23" t="inlineStr">
        <is>
          <t>Cash From Investing Activities</t>
        </is>
      </c>
      <c r="C93" s="80">
        <f>SUM(C81:C92)</f>
        <v/>
      </c>
      <c r="D93" s="80">
        <f>SUM(D81:D92)</f>
        <v/>
      </c>
      <c r="E93" s="80">
        <f>SUM(E81:E92)</f>
        <v/>
      </c>
      <c r="F93" s="80">
        <f>SUM(F81:F92)</f>
        <v/>
      </c>
      <c r="G93" s="80">
        <f>SUM(G81:G92)</f>
        <v/>
      </c>
      <c r="H93" s="80">
        <f>SUM(H81:H92)</f>
        <v/>
      </c>
      <c r="I93" s="80">
        <f>SUM(I81:I92)</f>
        <v/>
      </c>
      <c r="J93" s="80">
        <f>SUM(J81:J92)</f>
        <v/>
      </c>
      <c r="K93" s="80">
        <f>SUM(K81:K92)</f>
        <v/>
      </c>
      <c r="L93" s="80">
        <f>SUM(L81:L92)</f>
        <v/>
      </c>
      <c r="M93" s="80">
        <f>SUM(M81:M92)</f>
        <v/>
      </c>
    </row>
    <row r="94" hidden="1" outlineLevel="1" s="70"/>
    <row r="95" hidden="1" outlineLevel="1" s="70">
      <c r="B95" s="23" t="inlineStr">
        <is>
          <t xml:space="preserve">Financing Activities </t>
        </is>
      </c>
    </row>
    <row r="96" hidden="1" outlineLevel="1" s="70">
      <c r="B96" s="22" t="inlineStr">
        <is>
          <t>Proceeds from shares</t>
        </is>
      </c>
      <c r="C96" s="77">
        <f>IFERROR('Cash flow Data'!D26,0)</f>
        <v/>
      </c>
      <c r="D96" s="77">
        <f>IFERROR('Cash flow Data'!E26,0)</f>
        <v/>
      </c>
      <c r="E96" s="77">
        <f>IFERROR('Cash flow Data'!F26,0)</f>
        <v/>
      </c>
      <c r="F96" s="77">
        <f>IFERROR('Cash flow Data'!G26,0)</f>
        <v/>
      </c>
      <c r="G96" s="77">
        <f>IFERROR('Cash flow Data'!H26,0)</f>
        <v/>
      </c>
      <c r="H96" s="77">
        <f>IFERROR('Cash flow Data'!I26,0)</f>
        <v/>
      </c>
      <c r="I96" s="77">
        <f>IFERROR('Cash flow Data'!J26,0)</f>
        <v/>
      </c>
      <c r="J96" s="77">
        <f>IFERROR('Cash flow Data'!K26,0)</f>
        <v/>
      </c>
      <c r="K96" s="77">
        <f>IFERROR('Cash flow Data'!L26,0)</f>
        <v/>
      </c>
      <c r="L96" s="77">
        <f>IFERROR('Cash flow Data'!M26,0)</f>
        <v/>
      </c>
      <c r="M96" s="77">
        <f>IFERROR('Cash flow Data'!N26,0)</f>
        <v/>
      </c>
    </row>
    <row r="97" hidden="1" outlineLevel="1" s="70">
      <c r="B97" t="inlineStr">
        <is>
          <t>Redemption of debentures</t>
        </is>
      </c>
      <c r="C97" s="77">
        <f>IFERROR('Cash flow Data'!D27,0)</f>
        <v/>
      </c>
      <c r="D97" s="77">
        <f>IFERROR('Cash flow Data'!E27,0)</f>
        <v/>
      </c>
      <c r="E97" s="77">
        <f>IFERROR('Cash flow Data'!F27,0)</f>
        <v/>
      </c>
      <c r="F97" s="77">
        <f>IFERROR('Cash flow Data'!G27,0)</f>
        <v/>
      </c>
      <c r="G97" s="77">
        <f>IFERROR('Cash flow Data'!H27,0)</f>
        <v/>
      </c>
      <c r="H97" s="77">
        <f>IFERROR('Cash flow Data'!I27,0)</f>
        <v/>
      </c>
      <c r="I97" s="77">
        <f>IFERROR('Cash flow Data'!J27,0)</f>
        <v/>
      </c>
      <c r="J97" s="77">
        <f>IFERROR('Cash flow Data'!K27,0)</f>
        <v/>
      </c>
      <c r="K97" s="77">
        <f>IFERROR('Cash flow Data'!L27,0)</f>
        <v/>
      </c>
      <c r="L97" s="77">
        <f>IFERROR('Cash flow Data'!M27,0)</f>
        <v/>
      </c>
      <c r="M97" s="77">
        <f>IFERROR('Cash flow Data'!N27,0)</f>
        <v/>
      </c>
    </row>
    <row r="98" hidden="1" outlineLevel="1" s="70">
      <c r="B98" t="inlineStr">
        <is>
          <t>Proceeds from borrowings</t>
        </is>
      </c>
      <c r="C98" s="77">
        <f>IFERROR('Cash flow Data'!D28,0)</f>
        <v/>
      </c>
      <c r="D98" s="77">
        <f>IFERROR('Cash flow Data'!E28,0)</f>
        <v/>
      </c>
      <c r="E98" s="77">
        <f>IFERROR('Cash flow Data'!F28,0)</f>
        <v/>
      </c>
      <c r="F98" s="77">
        <f>IFERROR('Cash flow Data'!G28,0)</f>
        <v/>
      </c>
      <c r="G98" s="77">
        <f>IFERROR('Cash flow Data'!H28,0)</f>
        <v/>
      </c>
      <c r="H98" s="77">
        <f>IFERROR('Cash flow Data'!I28,0)</f>
        <v/>
      </c>
      <c r="I98" s="77">
        <f>IFERROR('Cash flow Data'!J28,0)</f>
        <v/>
      </c>
      <c r="J98" s="77">
        <f>IFERROR('Cash flow Data'!K28,0)</f>
        <v/>
      </c>
      <c r="K98" s="77">
        <f>IFERROR('Cash flow Data'!L28,0)</f>
        <v/>
      </c>
      <c r="L98" s="77">
        <f>IFERROR('Cash flow Data'!M28,0)</f>
        <v/>
      </c>
      <c r="M98" s="77">
        <f>IFERROR('Cash flow Data'!N28,0)</f>
        <v/>
      </c>
    </row>
    <row r="99" hidden="1" outlineLevel="1" s="70">
      <c r="B99" t="inlineStr">
        <is>
          <t>Repayment of borrowings</t>
        </is>
      </c>
      <c r="C99" s="77">
        <f>IFERROR('Cash flow Data'!D29,0)</f>
        <v/>
      </c>
      <c r="D99" s="77">
        <f>IFERROR('Cash flow Data'!E29,0)</f>
        <v/>
      </c>
      <c r="E99" s="77">
        <f>IFERROR('Cash flow Data'!F29,0)</f>
        <v/>
      </c>
      <c r="F99" s="77">
        <f>IFERROR('Cash flow Data'!G29,0)</f>
        <v/>
      </c>
      <c r="G99" s="77">
        <f>IFERROR('Cash flow Data'!H29,0)</f>
        <v/>
      </c>
      <c r="H99" s="77">
        <f>IFERROR('Cash flow Data'!I29,0)</f>
        <v/>
      </c>
      <c r="I99" s="77">
        <f>IFERROR('Cash flow Data'!J29,0)</f>
        <v/>
      </c>
      <c r="J99" s="77">
        <f>IFERROR('Cash flow Data'!K29,0)</f>
        <v/>
      </c>
      <c r="K99" s="77">
        <f>IFERROR('Cash flow Data'!L29,0)</f>
        <v/>
      </c>
      <c r="L99" s="77">
        <f>IFERROR('Cash flow Data'!M29,0)</f>
        <v/>
      </c>
      <c r="M99" s="77">
        <f>IFERROR('Cash flow Data'!N29,0)</f>
        <v/>
      </c>
    </row>
    <row r="100" hidden="1" outlineLevel="1" s="70">
      <c r="B100" t="inlineStr">
        <is>
          <t>Interest paid fin</t>
        </is>
      </c>
      <c r="C100" s="77">
        <f>IFERROR('Cash flow Data'!D30,0)</f>
        <v/>
      </c>
      <c r="D100" s="77">
        <f>IFERROR('Cash flow Data'!E30,0)</f>
        <v/>
      </c>
      <c r="E100" s="77">
        <f>IFERROR('Cash flow Data'!F30,0)</f>
        <v/>
      </c>
      <c r="F100" s="77">
        <f>IFERROR('Cash flow Data'!G30,0)</f>
        <v/>
      </c>
      <c r="G100" s="77">
        <f>IFERROR('Cash flow Data'!H30,0)</f>
        <v/>
      </c>
      <c r="H100" s="77">
        <f>IFERROR('Cash flow Data'!I30,0)</f>
        <v/>
      </c>
      <c r="I100" s="77">
        <f>IFERROR('Cash flow Data'!J30,0)</f>
        <v/>
      </c>
      <c r="J100" s="77">
        <f>IFERROR('Cash flow Data'!K30,0)</f>
        <v/>
      </c>
      <c r="K100" s="77">
        <f>IFERROR('Cash flow Data'!L30,0)</f>
        <v/>
      </c>
      <c r="L100" s="77">
        <f>IFERROR('Cash flow Data'!M30,0)</f>
        <v/>
      </c>
      <c r="M100" s="77">
        <f>IFERROR('Cash flow Data'!N30,0)</f>
        <v/>
      </c>
    </row>
    <row r="101" hidden="1" outlineLevel="1" s="70">
      <c r="B101" t="inlineStr">
        <is>
          <t>Dividends paid</t>
        </is>
      </c>
      <c r="C101" s="77">
        <f>IFERROR('Cash flow Data'!D31,0)</f>
        <v/>
      </c>
      <c r="D101" s="77">
        <f>IFERROR('Cash flow Data'!E31,0)</f>
        <v/>
      </c>
      <c r="E101" s="77">
        <f>IFERROR('Cash flow Data'!F31,0)</f>
        <v/>
      </c>
      <c r="F101" s="77">
        <f>IFERROR('Cash flow Data'!G31,0)</f>
        <v/>
      </c>
      <c r="G101" s="77">
        <f>IFERROR('Cash flow Data'!H31,0)</f>
        <v/>
      </c>
      <c r="H101" s="77">
        <f>IFERROR('Cash flow Data'!I31,0)</f>
        <v/>
      </c>
      <c r="I101" s="77">
        <f>IFERROR('Cash flow Data'!J31,0)</f>
        <v/>
      </c>
      <c r="J101" s="77">
        <f>IFERROR('Cash flow Data'!K31,0)</f>
        <v/>
      </c>
      <c r="K101" s="77">
        <f>IFERROR('Cash flow Data'!L31,0)</f>
        <v/>
      </c>
      <c r="L101" s="77">
        <f>IFERROR('Cash flow Data'!M31,0)</f>
        <v/>
      </c>
      <c r="M101" s="77">
        <f>IFERROR('Cash flow Data'!N31,0)</f>
        <v/>
      </c>
    </row>
    <row r="102" hidden="1" outlineLevel="1" s="70">
      <c r="B102" t="inlineStr">
        <is>
          <t>Financial liabilities</t>
        </is>
      </c>
      <c r="C102" s="77">
        <f>IFERROR('Cash flow Data'!D32,0)</f>
        <v/>
      </c>
      <c r="D102" s="77">
        <f>IFERROR('Cash flow Data'!E32,0)</f>
        <v/>
      </c>
      <c r="E102" s="77">
        <f>IFERROR('Cash flow Data'!F32,0)</f>
        <v/>
      </c>
      <c r="F102" s="77">
        <f>IFERROR('Cash flow Data'!G32,0)</f>
        <v/>
      </c>
      <c r="G102" s="77">
        <f>IFERROR('Cash flow Data'!H32,0)</f>
        <v/>
      </c>
      <c r="H102" s="77">
        <f>IFERROR('Cash flow Data'!I32,0)</f>
        <v/>
      </c>
      <c r="I102" s="77">
        <f>IFERROR('Cash flow Data'!J32,0)</f>
        <v/>
      </c>
      <c r="J102" s="77">
        <f>IFERROR('Cash flow Data'!K32,0)</f>
        <v/>
      </c>
      <c r="K102" s="77">
        <f>IFERROR('Cash flow Data'!L32,0)</f>
        <v/>
      </c>
      <c r="L102" s="77">
        <f>IFERROR('Cash flow Data'!M32,0)</f>
        <v/>
      </c>
      <c r="M102" s="77">
        <f>IFERROR('Cash flow Data'!N32,0)</f>
        <v/>
      </c>
    </row>
    <row r="103" hidden="1" outlineLevel="1" s="70">
      <c r="B103" t="inlineStr">
        <is>
          <t>Other financing items</t>
        </is>
      </c>
      <c r="C103" s="77">
        <f>IFERROR('Cash flow Data'!D33,0)</f>
        <v/>
      </c>
      <c r="D103" s="77">
        <f>IFERROR('Cash flow Data'!E33,0)</f>
        <v/>
      </c>
      <c r="E103" s="77">
        <f>IFERROR('Cash flow Data'!F33,0)</f>
        <v/>
      </c>
      <c r="F103" s="77">
        <f>IFERROR('Cash flow Data'!G33,0)</f>
        <v/>
      </c>
      <c r="G103" s="77">
        <f>IFERROR('Cash flow Data'!H33,0)</f>
        <v/>
      </c>
      <c r="H103" s="77">
        <f>IFERROR('Cash flow Data'!I33,0)</f>
        <v/>
      </c>
      <c r="I103" s="77">
        <f>IFERROR('Cash flow Data'!J33,0)</f>
        <v/>
      </c>
      <c r="J103" s="77">
        <f>IFERROR('Cash flow Data'!K33,0)</f>
        <v/>
      </c>
      <c r="K103" s="77">
        <f>IFERROR('Cash flow Data'!L33,0)</f>
        <v/>
      </c>
      <c r="L103" s="77">
        <f>IFERROR('Cash flow Data'!M33,0)</f>
        <v/>
      </c>
      <c r="M103" s="77">
        <f>IFERROR('Cash flow Data'!N33,0)</f>
        <v/>
      </c>
    </row>
    <row r="104" hidden="1" outlineLevel="1" s="70">
      <c r="B104" s="23" t="inlineStr">
        <is>
          <t>Cash From Financing Activities</t>
        </is>
      </c>
      <c r="C104" s="80">
        <f>SUM(C96:C103)</f>
        <v/>
      </c>
      <c r="D104" s="80">
        <f>SUM(D96:D103)</f>
        <v/>
      </c>
      <c r="E104" s="80">
        <f>SUM(E96:E103)</f>
        <v/>
      </c>
      <c r="F104" s="80">
        <f>SUM(F96:F103)</f>
        <v/>
      </c>
      <c r="G104" s="80">
        <f>SUM(G96:G103)</f>
        <v/>
      </c>
      <c r="H104" s="80">
        <f>SUM(H96:H103)</f>
        <v/>
      </c>
      <c r="I104" s="80">
        <f>SUM(I96:I103)</f>
        <v/>
      </c>
      <c r="J104" s="80">
        <f>SUM(J96:J103)</f>
        <v/>
      </c>
      <c r="K104" s="80">
        <f>SUM(K96:K103)</f>
        <v/>
      </c>
      <c r="L104" s="80">
        <f>SUM(L96:L103)</f>
        <v/>
      </c>
      <c r="M104" s="80">
        <f>SUM(M96:M103)</f>
        <v/>
      </c>
    </row>
    <row r="105" hidden="1" outlineLevel="1" s="70"/>
    <row r="106" hidden="1" outlineLevel="1" s="70">
      <c r="B106" s="16" t="inlineStr">
        <is>
          <t>Net Cash Flow</t>
        </is>
      </c>
      <c r="C106" s="80">
        <f>IFERROR(C78+C93+C104,0)</f>
        <v/>
      </c>
      <c r="D106" s="80">
        <f>IFERROR(D78+D93+D104,0)</f>
        <v/>
      </c>
      <c r="E106" s="80">
        <f>IFERROR(E78+E93+E104,0)</f>
        <v/>
      </c>
      <c r="F106" s="80">
        <f>IFERROR(F78+F93+F104,0)</f>
        <v/>
      </c>
      <c r="G106" s="80">
        <f>IFERROR(G78+G93+G104,0)</f>
        <v/>
      </c>
      <c r="H106" s="80">
        <f>IFERROR(H78+H93+H104,0)</f>
        <v/>
      </c>
      <c r="I106" s="80">
        <f>IFERROR(I78+I93+I104,0)</f>
        <v/>
      </c>
      <c r="J106" s="80">
        <f>IFERROR(J78+J93+J104,0)</f>
        <v/>
      </c>
      <c r="K106" s="80">
        <f>IFERROR(K78+K93+K104,0)</f>
        <v/>
      </c>
      <c r="L106" s="80">
        <f>IFERROR(L78+L93+L104,0)</f>
        <v/>
      </c>
      <c r="M106" s="80">
        <f>IFERROR(M78+M93+M104,0)</f>
        <v/>
      </c>
    </row>
    <row r="107" collapsed="1" s="70"/>
  </sheetData>
  <mergeCells count="1">
    <mergeCell ref="B2:M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zoomScale="80" zoomScaleNormal="80" workbookViewId="0">
      <pane ySplit="3" topLeftCell="A4" activePane="bottomLeft" state="frozen"/>
      <selection pane="bottomLeft" activeCell="C23" sqref="C23"/>
    </sheetView>
  </sheetViews>
  <sheetFormatPr baseColWidth="8" defaultRowHeight="14.4"/>
  <cols>
    <col width="1.88671875" customWidth="1" style="70" min="1" max="1"/>
    <col width="25" customWidth="1" style="70" min="2" max="2"/>
    <col width="9.77734375" customWidth="1" style="70" min="3" max="10"/>
    <col width="10.88671875" customWidth="1" style="70" min="11" max="11"/>
    <col width="9.77734375" customWidth="1" style="70" min="12" max="12"/>
    <col width="13.21875" customWidth="1" style="70" min="13" max="13"/>
    <col width="11.6640625" customWidth="1" style="70" min="14" max="14"/>
    <col width="12.44140625" customWidth="1" style="70" min="15" max="15"/>
  </cols>
  <sheetData>
    <row r="2">
      <c r="B2" s="69">
        <f>"Historical Financial Statement - "&amp;'Data Sheet 1'!B1</f>
        <v/>
      </c>
    </row>
    <row r="3">
      <c r="B3" s="5" t="inlineStr">
        <is>
          <t xml:space="preserve">Years </t>
        </is>
      </c>
      <c r="C3" s="6">
        <f>'Data Sheet 1'!B16</f>
        <v/>
      </c>
      <c r="D3" s="6">
        <f>'Data Sheet 1'!C16</f>
        <v/>
      </c>
      <c r="E3" s="6">
        <f>'Data Sheet 1'!D16</f>
        <v/>
      </c>
      <c r="F3" s="6">
        <f>'Data Sheet 1'!E16</f>
        <v/>
      </c>
      <c r="G3" s="6">
        <f>'Data Sheet 1'!F16</f>
        <v/>
      </c>
      <c r="H3" s="6">
        <f>'Data Sheet 1'!G16</f>
        <v/>
      </c>
      <c r="I3" s="6">
        <f>'Data Sheet 1'!H16</f>
        <v/>
      </c>
      <c r="J3" s="6">
        <f>'Data Sheet 1'!I16</f>
        <v/>
      </c>
      <c r="K3" s="6">
        <f>'Data Sheet 1'!J16</f>
        <v/>
      </c>
      <c r="L3" s="6">
        <f>'Data Sheet 1'!K16</f>
        <v/>
      </c>
      <c r="M3" s="7" t="inlineStr">
        <is>
          <t>Trend</t>
        </is>
      </c>
      <c r="N3" s="7" t="inlineStr">
        <is>
          <t>Mean</t>
        </is>
      </c>
      <c r="O3" s="7" t="inlineStr">
        <is>
          <t>Median</t>
        </is>
      </c>
    </row>
    <row r="5">
      <c r="B5" s="26" t="inlineStr">
        <is>
          <t>Sales Growth</t>
        </is>
      </c>
      <c r="C5" s="26" t="n"/>
      <c r="D5" s="27">
        <f>IFERROR(HistoricalFS!D7,0)</f>
        <v/>
      </c>
      <c r="E5" s="27">
        <f>IFERROR(HistoricalFS!E7,0)</f>
        <v/>
      </c>
      <c r="F5" s="27">
        <f>IFERROR(HistoricalFS!F7,0)</f>
        <v/>
      </c>
      <c r="G5" s="27">
        <f>IFERROR(HistoricalFS!G7,0)</f>
        <v/>
      </c>
      <c r="H5" s="27">
        <f>IFERROR(HistoricalFS!H7,0)</f>
        <v/>
      </c>
      <c r="I5" s="27">
        <f>IFERROR(HistoricalFS!I7,0)</f>
        <v/>
      </c>
      <c r="J5" s="27">
        <f>IFERROR(HistoricalFS!J7,0)</f>
        <v/>
      </c>
      <c r="K5" s="27">
        <f>IFERROR(HistoricalFS!K7,0)</f>
        <v/>
      </c>
      <c r="L5" s="27">
        <f>IFERROR(HistoricalFS!L7,0)</f>
        <v/>
      </c>
      <c r="M5" s="39" t="n"/>
      <c r="N5" s="39">
        <f>IFERROR(AVERAGE(D5:L5),0)</f>
        <v/>
      </c>
      <c r="O5" s="39">
        <f>IFERROR(MEDIAN(C5:L5),0)</f>
        <v/>
      </c>
    </row>
    <row r="6">
      <c r="B6" t="inlineStr">
        <is>
          <t>EBITDA Growth</t>
        </is>
      </c>
      <c r="D6" s="29">
        <f>IFERROR(HistoricalFS!D18/HistoricalFS!C18-1,0)</f>
        <v/>
      </c>
      <c r="E6" s="29">
        <f>IFERROR(HistoricalFS!E18/HistoricalFS!D18-1,0)</f>
        <v/>
      </c>
      <c r="F6" s="29">
        <f>IFERROR(HistoricalFS!F18/HistoricalFS!E18-1,0)</f>
        <v/>
      </c>
      <c r="G6" s="29">
        <f>IFERROR(HistoricalFS!G18/HistoricalFS!F18-1,0)</f>
        <v/>
      </c>
      <c r="H6" s="29">
        <f>IFERROR(HistoricalFS!H18/HistoricalFS!G18-1,0)</f>
        <v/>
      </c>
      <c r="I6" s="29">
        <f>IFERROR(HistoricalFS!I18/HistoricalFS!H18-1,0)</f>
        <v/>
      </c>
      <c r="J6" s="29">
        <f>IFERROR(HistoricalFS!J18/HistoricalFS!I18-1,0)</f>
        <v/>
      </c>
      <c r="K6" s="29">
        <f>IFERROR(HistoricalFS!K18/HistoricalFS!J18-1,0)</f>
        <v/>
      </c>
      <c r="L6" s="29">
        <f>IFERROR(HistoricalFS!L18/HistoricalFS!K18-1,0)</f>
        <v/>
      </c>
      <c r="M6" s="29" t="n"/>
      <c r="N6" s="29">
        <f>IFERROR(AVERAGE(D6:L6),0)</f>
        <v/>
      </c>
      <c r="O6" s="29">
        <f>IFERROR(MEDIAN(C6:L6),0)</f>
        <v/>
      </c>
    </row>
    <row r="7">
      <c r="B7" t="inlineStr">
        <is>
          <t>EBIT Growth</t>
        </is>
      </c>
      <c r="D7" s="29">
        <f>IFERROR(HistoricalFS!D27/HistoricalFS!C27-1,0)</f>
        <v/>
      </c>
      <c r="E7" s="29">
        <f>IFERROR(HistoricalFS!E27/HistoricalFS!D27-1,0)</f>
        <v/>
      </c>
      <c r="F7" s="29">
        <f>IFERROR(HistoricalFS!F27/HistoricalFS!E27-1,0)</f>
        <v/>
      </c>
      <c r="G7" s="29">
        <f>IFERROR(HistoricalFS!G27/HistoricalFS!F27-1,0)</f>
        <v/>
      </c>
      <c r="H7" s="29">
        <f>IFERROR(HistoricalFS!H27/HistoricalFS!G27-1,0)</f>
        <v/>
      </c>
      <c r="I7" s="29">
        <f>IFERROR(HistoricalFS!I27/HistoricalFS!H27-1,0)</f>
        <v/>
      </c>
      <c r="J7" s="29">
        <f>IFERROR(HistoricalFS!J27/HistoricalFS!I27-1,0)</f>
        <v/>
      </c>
      <c r="K7" s="29">
        <f>IFERROR(HistoricalFS!K27/HistoricalFS!J27-1,0)</f>
        <v/>
      </c>
      <c r="L7" s="29">
        <f>IFERROR(HistoricalFS!L27/HistoricalFS!K27-1,0)</f>
        <v/>
      </c>
      <c r="M7" s="29" t="n"/>
      <c r="N7" s="29">
        <f>IFERROR(AVERAGE(D7:L7),0)</f>
        <v/>
      </c>
      <c r="O7" s="29">
        <f>IFERROR(MEDIAN(C7:L7),0)</f>
        <v/>
      </c>
    </row>
    <row r="8">
      <c r="B8" t="inlineStr">
        <is>
          <t>Net Profit Growth</t>
        </is>
      </c>
      <c r="D8" s="29">
        <f>IFERROR(HistoricalFS!D33/HistoricalFS!C33-1,0)</f>
        <v/>
      </c>
      <c r="E8" s="29">
        <f>IFERROR(HistoricalFS!E33/HistoricalFS!D33-1,0)</f>
        <v/>
      </c>
      <c r="F8" s="29">
        <f>IFERROR(HistoricalFS!F33/HistoricalFS!E33-1,0)</f>
        <v/>
      </c>
      <c r="G8" s="29">
        <f>IFERROR(HistoricalFS!G33/HistoricalFS!F33-1,0)</f>
        <v/>
      </c>
      <c r="H8" s="29">
        <f>IFERROR(HistoricalFS!H33/HistoricalFS!G33-1,0)</f>
        <v/>
      </c>
      <c r="I8" s="29">
        <f>IFERROR(HistoricalFS!I33/HistoricalFS!H33-1,0)</f>
        <v/>
      </c>
      <c r="J8" s="29">
        <f>IFERROR(HistoricalFS!J33/HistoricalFS!I33-1,0)</f>
        <v/>
      </c>
      <c r="K8" s="29">
        <f>IFERROR(HistoricalFS!K33/HistoricalFS!J33-1,0)</f>
        <v/>
      </c>
      <c r="L8" s="29">
        <f>IFERROR(HistoricalFS!L33/HistoricalFS!K33-1,0)</f>
        <v/>
      </c>
      <c r="M8" s="29" t="n"/>
      <c r="N8" s="29">
        <f>IFERROR(AVERAGE(D8:L8),0)</f>
        <v/>
      </c>
      <c r="O8" s="29">
        <f>IFERROR(MEDIAN(C8:L8),0)</f>
        <v/>
      </c>
    </row>
    <row r="9">
      <c r="B9" s="30" t="inlineStr">
        <is>
          <t>Dividend Growth</t>
        </is>
      </c>
      <c r="C9" s="30" t="n"/>
      <c r="D9" s="31">
        <f>IFERROR(HistoricalFS!D41/HistoricalFS!C41-1,0)</f>
        <v/>
      </c>
      <c r="E9" s="31">
        <f>IFERROR(HistoricalFS!E41/HistoricalFS!D41-1,0)</f>
        <v/>
      </c>
      <c r="F9" s="31">
        <f>IFERROR(HistoricalFS!F41/HistoricalFS!E41-1,0)</f>
        <v/>
      </c>
      <c r="G9" s="31">
        <f>IFERROR(HistoricalFS!G41/HistoricalFS!F41-1,0)</f>
        <v/>
      </c>
      <c r="H9" s="31">
        <f>IFERROR(HistoricalFS!H41/HistoricalFS!G41-1,0)</f>
        <v/>
      </c>
      <c r="I9" s="31">
        <f>IFERROR(HistoricalFS!I41/HistoricalFS!H41-1,0)</f>
        <v/>
      </c>
      <c r="J9" s="31">
        <f>IFERROR(HistoricalFS!J41/HistoricalFS!I41-1,0)</f>
        <v/>
      </c>
      <c r="K9" s="31">
        <f>IFERROR(HistoricalFS!K41/HistoricalFS!J41-1,0)</f>
        <v/>
      </c>
      <c r="L9" s="31">
        <f>IFERROR(HistoricalFS!L41/HistoricalFS!K41-1,0)</f>
        <v/>
      </c>
      <c r="M9" s="40" t="n"/>
      <c r="N9" s="40">
        <f>IFERROR(AVERAGE(D9:L9),0)</f>
        <v/>
      </c>
      <c r="O9" s="40">
        <f>IFERROR(MEDIAN(C9:L9),0)</f>
        <v/>
      </c>
    </row>
    <row r="11">
      <c r="B11" s="26" t="inlineStr">
        <is>
          <t>Gross Margin</t>
        </is>
      </c>
      <c r="C11" s="27">
        <f>IFERROR(HistoricalFS!C13,0)</f>
        <v/>
      </c>
      <c r="D11" s="27">
        <f>IFERROR(HistoricalFS!D13,0)</f>
        <v/>
      </c>
      <c r="E11" s="27">
        <f>IFERROR(HistoricalFS!E13,0)</f>
        <v/>
      </c>
      <c r="F11" s="27">
        <f>IFERROR(HistoricalFS!F13,0)</f>
        <v/>
      </c>
      <c r="G11" s="27">
        <f>IFERROR(HistoricalFS!G13,0)</f>
        <v/>
      </c>
      <c r="H11" s="27">
        <f>IFERROR(HistoricalFS!H13,0)</f>
        <v/>
      </c>
      <c r="I11" s="27">
        <f>IFERROR(HistoricalFS!I13,0)</f>
        <v/>
      </c>
      <c r="J11" s="27">
        <f>IFERROR(HistoricalFS!J13,0)</f>
        <v/>
      </c>
      <c r="K11" s="27">
        <f>IFERROR(HistoricalFS!K13,0)</f>
        <v/>
      </c>
      <c r="L11" s="27">
        <f>IFERROR(HistoricalFS!L13,0)</f>
        <v/>
      </c>
      <c r="M11" s="41" t="n"/>
      <c r="N11" s="39">
        <f>IFERROR(AVERAGE(C11:L11),0)</f>
        <v/>
      </c>
      <c r="O11" s="39">
        <f>IFERROR(MEDIAN(C11:L11),0)</f>
        <v/>
      </c>
    </row>
    <row r="12">
      <c r="B12" t="inlineStr">
        <is>
          <t xml:space="preserve">EBITDA Margin </t>
        </is>
      </c>
      <c r="C12" s="29">
        <f>IFERROR(HistoricalFS!C19,0)</f>
        <v/>
      </c>
      <c r="D12" s="29">
        <f>IFERROR(HistoricalFS!D19,0)</f>
        <v/>
      </c>
      <c r="E12" s="29">
        <f>IFERROR(HistoricalFS!E19,0)</f>
        <v/>
      </c>
      <c r="F12" s="29">
        <f>IFERROR(HistoricalFS!F19,0)</f>
        <v/>
      </c>
      <c r="G12" s="29">
        <f>IFERROR(HistoricalFS!G19,0)</f>
        <v/>
      </c>
      <c r="H12" s="29">
        <f>IFERROR(HistoricalFS!H19,0)</f>
        <v/>
      </c>
      <c r="I12" s="29">
        <f>IFERROR(HistoricalFS!I19,0)</f>
        <v/>
      </c>
      <c r="J12" s="29">
        <f>IFERROR(HistoricalFS!J19,0)</f>
        <v/>
      </c>
      <c r="K12" s="29">
        <f>IFERROR(HistoricalFS!K19,0)</f>
        <v/>
      </c>
      <c r="L12" s="29">
        <f>IFERROR(HistoricalFS!L19,0)</f>
        <v/>
      </c>
      <c r="N12" s="29">
        <f>IFERROR(AVERAGE(C12:L12),0)</f>
        <v/>
      </c>
      <c r="O12" s="29">
        <f>IFERROR(MEDIAN(C12:L12),0)</f>
        <v/>
      </c>
    </row>
    <row r="13">
      <c r="B13" t="inlineStr">
        <is>
          <t xml:space="preserve">EBIT Margin </t>
        </is>
      </c>
      <c r="C13" s="29">
        <f>IFERROR((HistoricalFS!C18-HistoricalFS!C24)/HistoricalFS!C6,0)</f>
        <v/>
      </c>
      <c r="D13" s="29">
        <f>IFERROR((HistoricalFS!D18-HistoricalFS!D24)/HistoricalFS!D6,0)</f>
        <v/>
      </c>
      <c r="E13" s="29">
        <f>IFERROR((HistoricalFS!E18-HistoricalFS!E24)/HistoricalFS!E6,0)</f>
        <v/>
      </c>
      <c r="F13" s="29">
        <f>IFERROR((HistoricalFS!F18-HistoricalFS!F24)/HistoricalFS!F6,0)</f>
        <v/>
      </c>
      <c r="G13" s="29">
        <f>IFERROR((HistoricalFS!G18-HistoricalFS!G24)/HistoricalFS!G6,0)</f>
        <v/>
      </c>
      <c r="H13" s="29">
        <f>IFERROR((HistoricalFS!H18-HistoricalFS!H24)/HistoricalFS!H6,0)</f>
        <v/>
      </c>
      <c r="I13" s="29">
        <f>IFERROR((HistoricalFS!I18-HistoricalFS!I24)/HistoricalFS!I6,0)</f>
        <v/>
      </c>
      <c r="J13" s="29">
        <f>IFERROR((HistoricalFS!J18-HistoricalFS!J24)/HistoricalFS!J6,0)</f>
        <v/>
      </c>
      <c r="K13" s="29">
        <f>IFERROR((HistoricalFS!K18-HistoricalFS!K24)/HistoricalFS!K6,0)</f>
        <v/>
      </c>
      <c r="L13" s="29">
        <f>IFERROR((HistoricalFS!L18-HistoricalFS!L24)/HistoricalFS!L6,0)</f>
        <v/>
      </c>
      <c r="N13" s="29">
        <f>IFERROR(AVERAGE(C13:L13),0)</f>
        <v/>
      </c>
      <c r="O13" s="29">
        <f>IFERROR(MEDIAN(C13:L13),0)</f>
        <v/>
      </c>
    </row>
    <row r="14">
      <c r="B14" t="inlineStr">
        <is>
          <t>EBT Margin</t>
        </is>
      </c>
      <c r="C14" s="29">
        <f>IFERROR(HistoricalFS!C28,0)</f>
        <v/>
      </c>
      <c r="D14" s="29">
        <f>IFERROR(HistoricalFS!D28,0)</f>
        <v/>
      </c>
      <c r="E14" s="29">
        <f>IFERROR(HistoricalFS!E28,0)</f>
        <v/>
      </c>
      <c r="F14" s="29">
        <f>IFERROR(HistoricalFS!F28,0)</f>
        <v/>
      </c>
      <c r="G14" s="29">
        <f>IFERROR(HistoricalFS!G28,0)</f>
        <v/>
      </c>
      <c r="H14" s="29">
        <f>IFERROR(HistoricalFS!H28,0)</f>
        <v/>
      </c>
      <c r="I14" s="29">
        <f>IFERROR(HistoricalFS!I28,0)</f>
        <v/>
      </c>
      <c r="J14" s="29">
        <f>IFERROR(HistoricalFS!J28,0)</f>
        <v/>
      </c>
      <c r="K14" s="29">
        <f>IFERROR(HistoricalFS!K28,0)</f>
        <v/>
      </c>
      <c r="L14" s="29">
        <f>IFERROR(HistoricalFS!L28,0)</f>
        <v/>
      </c>
      <c r="N14" s="29">
        <f>IFERROR(AVERAGE(C14:L14),0)</f>
        <v/>
      </c>
      <c r="O14" s="29">
        <f>IFERROR(MEDIAN(C14:L14),0)</f>
        <v/>
      </c>
    </row>
    <row r="15">
      <c r="B15" s="30" t="inlineStr">
        <is>
          <t>Net Profit Margin</t>
        </is>
      </c>
      <c r="C15" s="31">
        <f>IFERROR(HistoricalFS!C34,0)</f>
        <v/>
      </c>
      <c r="D15" s="31">
        <f>IFERROR(HistoricalFS!D34,0)</f>
        <v/>
      </c>
      <c r="E15" s="31">
        <f>IFERROR(HistoricalFS!E34,0)</f>
        <v/>
      </c>
      <c r="F15" s="31">
        <f>IFERROR(HistoricalFS!F34,0)</f>
        <v/>
      </c>
      <c r="G15" s="31">
        <f>IFERROR(HistoricalFS!G34,0)</f>
        <v/>
      </c>
      <c r="H15" s="31">
        <f>IFERROR(HistoricalFS!H34,0)</f>
        <v/>
      </c>
      <c r="I15" s="31">
        <f>IFERROR(HistoricalFS!I34,0)</f>
        <v/>
      </c>
      <c r="J15" s="31">
        <f>IFERROR(HistoricalFS!J34,0)</f>
        <v/>
      </c>
      <c r="K15" s="31">
        <f>IFERROR(HistoricalFS!K34,0)</f>
        <v/>
      </c>
      <c r="L15" s="31">
        <f>IFERROR(HistoricalFS!L34,0)</f>
        <v/>
      </c>
      <c r="M15" s="42" t="n"/>
      <c r="N15" s="40">
        <f>IFERROR(AVERAGE(C15:L15),0)</f>
        <v/>
      </c>
      <c r="O15" s="40">
        <f>IFERROR(MEDIAN(C15:L15),0)</f>
        <v/>
      </c>
    </row>
    <row r="16">
      <c r="N16" s="29" t="n"/>
    </row>
    <row r="17">
      <c r="B17" s="26" t="inlineStr">
        <is>
          <t xml:space="preserve">Sales Expenses % Sales </t>
        </is>
      </c>
      <c r="C17" s="27">
        <f>IFERROR(HistoricalFS!C16,0)</f>
        <v/>
      </c>
      <c r="D17" s="27">
        <f>IFERROR(HistoricalFS!D16,0)</f>
        <v/>
      </c>
      <c r="E17" s="27">
        <f>IFERROR(HistoricalFS!E16,0)</f>
        <v/>
      </c>
      <c r="F17" s="27">
        <f>IFERROR(HistoricalFS!F16,0)</f>
        <v/>
      </c>
      <c r="G17" s="27">
        <f>IFERROR(HistoricalFS!G16,0)</f>
        <v/>
      </c>
      <c r="H17" s="27">
        <f>IFERROR(HistoricalFS!H16,0)</f>
        <v/>
      </c>
      <c r="I17" s="27">
        <f>IFERROR(HistoricalFS!I16,0)</f>
        <v/>
      </c>
      <c r="J17" s="27">
        <f>IFERROR(HistoricalFS!J16,0)</f>
        <v/>
      </c>
      <c r="K17" s="27">
        <f>IFERROR(HistoricalFS!K16,0)</f>
        <v/>
      </c>
      <c r="L17" s="27">
        <f>IFERROR(HistoricalFS!L16,0)</f>
        <v/>
      </c>
      <c r="M17" s="41" t="n"/>
      <c r="N17" s="39">
        <f>IFERROR(AVERAGE(C17:L17),0)</f>
        <v/>
      </c>
      <c r="O17" s="39">
        <f>IFERROR(MEDIAN(C17:L17),0)</f>
        <v/>
      </c>
    </row>
    <row r="18">
      <c r="B18" t="inlineStr">
        <is>
          <t xml:space="preserve">Depricaiation % Sales </t>
        </is>
      </c>
      <c r="C18" s="29">
        <f>IFERROR(HistoricalFS!C25,0)</f>
        <v/>
      </c>
      <c r="D18" s="29">
        <f>IFERROR(HistoricalFS!D25,0)</f>
        <v/>
      </c>
      <c r="E18" s="29">
        <f>IFERROR(HistoricalFS!E25,0)</f>
        <v/>
      </c>
      <c r="F18" s="29">
        <f>IFERROR(HistoricalFS!F25,0)</f>
        <v/>
      </c>
      <c r="G18" s="29">
        <f>IFERROR(HistoricalFS!G25,0)</f>
        <v/>
      </c>
      <c r="H18" s="29">
        <f>IFERROR(HistoricalFS!H25,0)</f>
        <v/>
      </c>
      <c r="I18" s="29">
        <f>IFERROR(HistoricalFS!I25,0)</f>
        <v/>
      </c>
      <c r="J18" s="29">
        <f>IFERROR(HistoricalFS!J25,0)</f>
        <v/>
      </c>
      <c r="K18" s="29">
        <f>IFERROR(HistoricalFS!K25,0)</f>
        <v/>
      </c>
      <c r="L18" s="29">
        <f>IFERROR(HistoricalFS!L25,0)</f>
        <v/>
      </c>
      <c r="N18" s="29">
        <f>IFERROR(AVERAGE(C18:L18),0)</f>
        <v/>
      </c>
      <c r="O18" s="29">
        <f>IFERROR(MEDIAN(C18:L18),0)</f>
        <v/>
      </c>
    </row>
    <row r="19">
      <c r="B19" s="30" t="inlineStr">
        <is>
          <t xml:space="preserve">Operating Income  % Sales </t>
        </is>
      </c>
      <c r="C19" s="32">
        <f>C13</f>
        <v/>
      </c>
      <c r="D19" s="32">
        <f>D13</f>
        <v/>
      </c>
      <c r="E19" s="32">
        <f>E13</f>
        <v/>
      </c>
      <c r="F19" s="32">
        <f>F13</f>
        <v/>
      </c>
      <c r="G19" s="32">
        <f>G13</f>
        <v/>
      </c>
      <c r="H19" s="32">
        <f>H13</f>
        <v/>
      </c>
      <c r="I19" s="32">
        <f>I13</f>
        <v/>
      </c>
      <c r="J19" s="32">
        <f>J13</f>
        <v/>
      </c>
      <c r="K19" s="32">
        <f>K13</f>
        <v/>
      </c>
      <c r="L19" s="32">
        <f>L13</f>
        <v/>
      </c>
      <c r="M19" s="42" t="n"/>
      <c r="N19" s="40">
        <f>IFERROR(AVERAGE(C19:L19),0)</f>
        <v/>
      </c>
      <c r="O19" s="40">
        <f>IFERROR(MEDIAN(C19:L19),0)</f>
        <v/>
      </c>
    </row>
    <row r="20">
      <c r="N20" s="29" t="n"/>
    </row>
    <row r="21">
      <c r="B21" s="26" t="inlineStr">
        <is>
          <t xml:space="preserve">Return on Capital Employed </t>
        </is>
      </c>
      <c r="C21" s="27">
        <f>IFERROR((HistoricalFS!C18-HistoricalFS!C24)/(SUM(HistoricalFS!C47:C49)),0)</f>
        <v/>
      </c>
      <c r="D21" s="27">
        <f>IFERROR((HistoricalFS!D18-HistoricalFS!D24)/(SUM(HistoricalFS!D47:D49)),0)</f>
        <v/>
      </c>
      <c r="E21" s="27">
        <f>IFERROR((HistoricalFS!E18-HistoricalFS!E24)/(SUM(HistoricalFS!E47:E49)),0)</f>
        <v/>
      </c>
      <c r="F21" s="27">
        <f>IFERROR((HistoricalFS!F18-HistoricalFS!F24)/(SUM(HistoricalFS!F47:F49)),0)</f>
        <v/>
      </c>
      <c r="G21" s="27">
        <f>IFERROR((HistoricalFS!G18-HistoricalFS!G24)/(SUM(HistoricalFS!G47:G49)),0)</f>
        <v/>
      </c>
      <c r="H21" s="27">
        <f>IFERROR((HistoricalFS!H18-HistoricalFS!H24)/(SUM(HistoricalFS!H47:H49)),0)</f>
        <v/>
      </c>
      <c r="I21" s="27">
        <f>IFERROR((HistoricalFS!I18-HistoricalFS!I24)/(SUM(HistoricalFS!I47:I49)),0)</f>
        <v/>
      </c>
      <c r="J21" s="27">
        <f>IFERROR((HistoricalFS!J18-HistoricalFS!J24)/(SUM(HistoricalFS!J47:J49)),0)</f>
        <v/>
      </c>
      <c r="K21" s="27">
        <f>IFERROR((HistoricalFS!K18-HistoricalFS!K24)/(SUM(HistoricalFS!K47:K49)),0)</f>
        <v/>
      </c>
      <c r="L21" s="27">
        <f>IFERROR((HistoricalFS!L18-HistoricalFS!L24)/(SUM(HistoricalFS!L47:L49)),0)</f>
        <v/>
      </c>
      <c r="M21" s="41" t="n"/>
      <c r="N21" s="39">
        <f>IFERROR(AVERAGE(C21:L21),0)</f>
        <v/>
      </c>
      <c r="O21" s="39">
        <f>IFERROR(MEDIAN(C21:L21),0)</f>
        <v/>
      </c>
    </row>
    <row r="22">
      <c r="B22" t="inlineStr">
        <is>
          <t>Retained Earning %</t>
        </is>
      </c>
      <c r="C22" s="29">
        <f>IFERROR(HistoricalFS!C44,0)</f>
        <v/>
      </c>
      <c r="D22" s="29">
        <f>IFERROR(HistoricalFS!D44,0)</f>
        <v/>
      </c>
      <c r="E22" s="29">
        <f>IFERROR(HistoricalFS!E44,0)</f>
        <v/>
      </c>
      <c r="F22" s="29">
        <f>IFERROR(HistoricalFS!F44,0)</f>
        <v/>
      </c>
      <c r="G22" s="29">
        <f>IFERROR(HistoricalFS!G44,0)</f>
        <v/>
      </c>
      <c r="H22" s="29">
        <f>IFERROR(HistoricalFS!H44,0)</f>
        <v/>
      </c>
      <c r="I22" s="29">
        <f>IFERROR(HistoricalFS!I44,0)</f>
        <v/>
      </c>
      <c r="J22" s="29">
        <f>IFERROR(HistoricalFS!J44,0)</f>
        <v/>
      </c>
      <c r="K22" s="29">
        <f>IFERROR(HistoricalFS!K44,0)</f>
        <v/>
      </c>
      <c r="L22" s="29">
        <f>IFERROR(HistoricalFS!L44,0)</f>
        <v/>
      </c>
      <c r="N22" s="29">
        <f>IFERROR(AVERAGE(C22:L22),0)</f>
        <v/>
      </c>
      <c r="O22" s="29">
        <f>IFERROR(MEDIAN(C22:L22),0)</f>
        <v/>
      </c>
    </row>
    <row r="23">
      <c r="B23" t="inlineStr">
        <is>
          <t>Return on Equity %</t>
        </is>
      </c>
      <c r="C23" s="29">
        <f>IFERROR(HistoricalFS!C33/SUM(HistoricalFS!C47:C48),0)</f>
        <v/>
      </c>
      <c r="D23" s="29">
        <f>IFERROR(HistoricalFS!D33/SUM(HistoricalFS!D47:D48),0)</f>
        <v/>
      </c>
      <c r="E23" s="29">
        <f>IFERROR(HistoricalFS!E33/SUM(HistoricalFS!E47:E48),0)</f>
        <v/>
      </c>
      <c r="F23" s="29">
        <f>IFERROR(HistoricalFS!F33/SUM(HistoricalFS!F47:F48),0)</f>
        <v/>
      </c>
      <c r="G23" s="29">
        <f>IFERROR(HistoricalFS!G33/SUM(HistoricalFS!G47:G48),0)</f>
        <v/>
      </c>
      <c r="H23" s="29">
        <f>IFERROR(HistoricalFS!H33/SUM(HistoricalFS!H47:H48),0)</f>
        <v/>
      </c>
      <c r="I23" s="29">
        <f>IFERROR(HistoricalFS!I33/SUM(HistoricalFS!I47:I48),0)</f>
        <v/>
      </c>
      <c r="J23" s="29">
        <f>IFERROR(HistoricalFS!J33/SUM(HistoricalFS!J47:J48),0)</f>
        <v/>
      </c>
      <c r="K23" s="29">
        <f>IFERROR(HistoricalFS!K33/SUM(HistoricalFS!K47:K48),0)</f>
        <v/>
      </c>
      <c r="L23" s="29">
        <f>IFERROR(HistoricalFS!L33/SUM(HistoricalFS!L47:L48),0)</f>
        <v/>
      </c>
      <c r="N23" s="29">
        <f>IFERROR(AVERAGE(C23:L23),0)</f>
        <v/>
      </c>
      <c r="O23" s="29">
        <f>IFERROR(MEDIAN(C23:L23),0)</f>
        <v/>
      </c>
    </row>
    <row r="24">
      <c r="B24" t="inlineStr">
        <is>
          <t xml:space="preserve">Self Sustained Growth Rate </t>
        </is>
      </c>
      <c r="C24" s="29">
        <f>IFERROR(C22*C23,0)</f>
        <v/>
      </c>
      <c r="D24" s="29">
        <f>IFERROR(D22*D23,0)</f>
        <v/>
      </c>
      <c r="E24" s="29">
        <f>IFERROR(E22*E23,0)</f>
        <v/>
      </c>
      <c r="F24" s="29">
        <f>IFERROR(F22*F23,0)</f>
        <v/>
      </c>
      <c r="G24" s="29">
        <f>IFERROR(G22*G23,0)</f>
        <v/>
      </c>
      <c r="H24" s="29">
        <f>IFERROR(H22*H23,0)</f>
        <v/>
      </c>
      <c r="I24" s="29">
        <f>IFERROR(I22*I23,0)</f>
        <v/>
      </c>
      <c r="J24" s="29">
        <f>IFERROR(J22*J23,0)</f>
        <v/>
      </c>
      <c r="K24" s="29">
        <f>IFERROR(K22*K23,0)</f>
        <v/>
      </c>
      <c r="L24" s="29">
        <f>IFERROR(L22*L23,0)</f>
        <v/>
      </c>
      <c r="N24" s="29">
        <f>IFERROR(AVERAGE(C24:L24),0)</f>
        <v/>
      </c>
      <c r="O24" s="29">
        <f>IFERROR(MEDIAN(C24:L24),0)</f>
        <v/>
      </c>
    </row>
    <row r="25">
      <c r="B25" s="30" t="inlineStr">
        <is>
          <t xml:space="preserve">Interest Coverage Ratio </t>
        </is>
      </c>
      <c r="C25" s="81">
        <f>(HistoricalFS!C18-HistoricalFS!C24)/HistoricalFS!C21</f>
        <v/>
      </c>
      <c r="D25" s="81">
        <f>(HistoricalFS!D18-HistoricalFS!D24)/HistoricalFS!D21</f>
        <v/>
      </c>
      <c r="E25" s="81">
        <f>(HistoricalFS!E18-HistoricalFS!E24)/HistoricalFS!E21</f>
        <v/>
      </c>
      <c r="F25" s="81">
        <f>(HistoricalFS!F18-HistoricalFS!F24)/HistoricalFS!F21</f>
        <v/>
      </c>
      <c r="G25" s="81">
        <f>(HistoricalFS!G18-HistoricalFS!G24)/HistoricalFS!G21</f>
        <v/>
      </c>
      <c r="H25" s="81">
        <f>(HistoricalFS!H18-HistoricalFS!H24)/HistoricalFS!H21</f>
        <v/>
      </c>
      <c r="I25" s="81">
        <f>(HistoricalFS!I18-HistoricalFS!I24)/HistoricalFS!I21</f>
        <v/>
      </c>
      <c r="J25" s="81">
        <f>(HistoricalFS!J18-HistoricalFS!J24)/HistoricalFS!J21</f>
        <v/>
      </c>
      <c r="K25" s="81">
        <f>(HistoricalFS!K18-HistoricalFS!K24)/HistoricalFS!K21</f>
        <v/>
      </c>
      <c r="L25" s="81">
        <f>(HistoricalFS!L18-HistoricalFS!L24)/HistoricalFS!L21</f>
        <v/>
      </c>
      <c r="M25" s="42" t="n"/>
      <c r="N25" s="82">
        <f>IFERROR(AVERAGE(C25:L25),0)</f>
        <v/>
      </c>
      <c r="O25" s="82">
        <f>IFERROR(MEDIAN(C25:L25),0)</f>
        <v/>
      </c>
    </row>
    <row r="26">
      <c r="N26" s="29" t="n"/>
    </row>
    <row r="27">
      <c r="B27" s="26" t="inlineStr">
        <is>
          <t>Debtor Turnover Ratio</t>
        </is>
      </c>
      <c r="C27" s="83">
        <f>IFERROR(HistoricalFS!C6/HistoricalFS!C59,0)</f>
        <v/>
      </c>
      <c r="D27" s="83">
        <f>IFERROR(HistoricalFS!D6/HistoricalFS!D59,0)</f>
        <v/>
      </c>
      <c r="E27" s="83">
        <f>IFERROR(HistoricalFS!E6/HistoricalFS!E59,0)</f>
        <v/>
      </c>
      <c r="F27" s="83">
        <f>IFERROR(HistoricalFS!F6/HistoricalFS!F59,0)</f>
        <v/>
      </c>
      <c r="G27" s="83">
        <f>IFERROR(HistoricalFS!G6/HistoricalFS!G59,0)</f>
        <v/>
      </c>
      <c r="H27" s="83">
        <f>IFERROR(HistoricalFS!H6/HistoricalFS!H59,0)</f>
        <v/>
      </c>
      <c r="I27" s="83">
        <f>IFERROR(HistoricalFS!I6/HistoricalFS!I59,0)</f>
        <v/>
      </c>
      <c r="J27" s="83">
        <f>IFERROR(HistoricalFS!J6/HistoricalFS!J59,0)</f>
        <v/>
      </c>
      <c r="K27" s="83">
        <f>IFERROR(HistoricalFS!K6/HistoricalFS!K59,0)</f>
        <v/>
      </c>
      <c r="L27" s="83">
        <f>IFERROR(HistoricalFS!L6/HistoricalFS!L59,0)</f>
        <v/>
      </c>
      <c r="M27" s="41" t="n"/>
      <c r="N27" s="84">
        <f>IFERROR(AVERAGE(C27:L27),0)</f>
        <v/>
      </c>
      <c r="O27" s="84">
        <f>IFERROR(MEDIAN(C27:L27),0)</f>
        <v/>
      </c>
    </row>
    <row r="28">
      <c r="B28" t="inlineStr">
        <is>
          <t xml:space="preserve">Creditor Turnover Ratio </t>
        </is>
      </c>
      <c r="C28" s="85">
        <f>IFERROR(HistoricalFS!C6/HistoricalFS!C50,0)</f>
        <v/>
      </c>
      <c r="D28" s="85">
        <f>IFERROR(HistoricalFS!D6/HistoricalFS!D50,0)</f>
        <v/>
      </c>
      <c r="E28" s="85">
        <f>IFERROR(HistoricalFS!E6/HistoricalFS!E50,0)</f>
        <v/>
      </c>
      <c r="F28" s="85">
        <f>IFERROR(HistoricalFS!F6/HistoricalFS!F50,0)</f>
        <v/>
      </c>
      <c r="G28" s="85">
        <f>IFERROR(HistoricalFS!G6/HistoricalFS!G50,0)</f>
        <v/>
      </c>
      <c r="H28" s="85">
        <f>IFERROR(HistoricalFS!H6/HistoricalFS!H50,0)</f>
        <v/>
      </c>
      <c r="I28" s="85">
        <f>IFERROR(HistoricalFS!I6/HistoricalFS!I50,0)</f>
        <v/>
      </c>
      <c r="J28" s="85">
        <f>IFERROR(HistoricalFS!J6/HistoricalFS!J50,0)</f>
        <v/>
      </c>
      <c r="K28" s="85">
        <f>IFERROR(HistoricalFS!K6/HistoricalFS!K50,0)</f>
        <v/>
      </c>
      <c r="L28" s="85">
        <f>IFERROR(HistoricalFS!L6/HistoricalFS!L50,0)</f>
        <v/>
      </c>
      <c r="N28" s="85">
        <f>IFERROR(AVERAGE(C28:L28),0)</f>
        <v/>
      </c>
      <c r="O28" s="85">
        <f>IFERROR(MEDIAN(C28:L28),0)</f>
        <v/>
      </c>
    </row>
    <row r="29">
      <c r="B29" t="inlineStr">
        <is>
          <t xml:space="preserve">Inventory Turnover </t>
        </is>
      </c>
      <c r="C29" s="85">
        <f>IFERROR(HistoricalFS!C6/HistoricalFS!C60,0)</f>
        <v/>
      </c>
      <c r="D29" s="85">
        <f>IFERROR(HistoricalFS!D6/HistoricalFS!D60,0)</f>
        <v/>
      </c>
      <c r="E29" s="85">
        <f>IFERROR(HistoricalFS!E6/HistoricalFS!E60,0)</f>
        <v/>
      </c>
      <c r="F29" s="85">
        <f>IFERROR(HistoricalFS!F6/HistoricalFS!F60,0)</f>
        <v/>
      </c>
      <c r="G29" s="85">
        <f>IFERROR(HistoricalFS!G6/HistoricalFS!G60,0)</f>
        <v/>
      </c>
      <c r="H29" s="85">
        <f>IFERROR(HistoricalFS!H6/HistoricalFS!H60,0)</f>
        <v/>
      </c>
      <c r="I29" s="85">
        <f>IFERROR(HistoricalFS!I6/HistoricalFS!I60,0)</f>
        <v/>
      </c>
      <c r="J29" s="85">
        <f>IFERROR(HistoricalFS!J6/HistoricalFS!J60,0)</f>
        <v/>
      </c>
      <c r="K29" s="85">
        <f>IFERROR(HistoricalFS!K6/HistoricalFS!K60,0)</f>
        <v/>
      </c>
      <c r="L29" s="85">
        <f>IFERROR(HistoricalFS!L6/HistoricalFS!L60,0)</f>
        <v/>
      </c>
      <c r="N29" s="85">
        <f>IFERROR(AVERAGE(C29:L29),0)</f>
        <v/>
      </c>
      <c r="O29" s="85">
        <f>IFERROR(MEDIAN(C29:L29),0)</f>
        <v/>
      </c>
    </row>
    <row r="30">
      <c r="B30" t="inlineStr">
        <is>
          <t>Fixed Asset Turnover</t>
        </is>
      </c>
      <c r="C30" s="85">
        <f>IFERROR(HistoricalFS!C6/HistoricalFS!C5:C53,0)</f>
        <v/>
      </c>
      <c r="D30" s="85">
        <f>IFERROR(HistoricalFS!D6/HistoricalFS!D5:D53,0)</f>
        <v/>
      </c>
      <c r="E30" s="85">
        <f>IFERROR(HistoricalFS!E6/HistoricalFS!E5:E53,0)</f>
        <v/>
      </c>
      <c r="F30" s="85">
        <f>IFERROR(HistoricalFS!F6/HistoricalFS!F5:F53,0)</f>
        <v/>
      </c>
      <c r="G30" s="85">
        <f>IFERROR(HistoricalFS!G6/HistoricalFS!G5:G53,0)</f>
        <v/>
      </c>
      <c r="H30" s="85">
        <f>IFERROR(HistoricalFS!H6/HistoricalFS!H5:H53,0)</f>
        <v/>
      </c>
      <c r="I30" s="85">
        <f>IFERROR(HistoricalFS!I6/HistoricalFS!I5:I53,0)</f>
        <v/>
      </c>
      <c r="J30" s="85">
        <f>IFERROR(HistoricalFS!J6/HistoricalFS!J5:J53,0)</f>
        <v/>
      </c>
      <c r="K30" s="85">
        <f>IFERROR(HistoricalFS!K6/HistoricalFS!K5:K53,0)</f>
        <v/>
      </c>
      <c r="L30" s="85">
        <f>IFERROR(HistoricalFS!L6/HistoricalFS!L5:L53,0)</f>
        <v/>
      </c>
      <c r="N30" s="85">
        <f>IFERROR(AVERAGE(C30:L30),0)</f>
        <v/>
      </c>
      <c r="O30" s="85">
        <f>IFERROR(MEDIAN(C30:L30),0)</f>
        <v/>
      </c>
    </row>
    <row r="31">
      <c r="B31" s="30" t="inlineStr">
        <is>
          <t xml:space="preserve">Capital Turnover </t>
        </is>
      </c>
      <c r="C31" s="81">
        <f>IFERROR(HistoricalFS!C6/SUM(HistoricalFS!C47:C48),0)</f>
        <v/>
      </c>
      <c r="D31" s="81">
        <f>IFERROR(HistoricalFS!D6/SUM(HistoricalFS!D47:D48),0)</f>
        <v/>
      </c>
      <c r="E31" s="81">
        <f>IFERROR(HistoricalFS!E6/SUM(HistoricalFS!E47:E48),0)</f>
        <v/>
      </c>
      <c r="F31" s="81">
        <f>IFERROR(HistoricalFS!F6/SUM(HistoricalFS!F47:F48),0)</f>
        <v/>
      </c>
      <c r="G31" s="81">
        <f>IFERROR(HistoricalFS!G6/SUM(HistoricalFS!G47:G48),0)</f>
        <v/>
      </c>
      <c r="H31" s="81">
        <f>IFERROR(HistoricalFS!H6/SUM(HistoricalFS!H47:H48),0)</f>
        <v/>
      </c>
      <c r="I31" s="81">
        <f>IFERROR(HistoricalFS!I6/SUM(HistoricalFS!I47:I48),0)</f>
        <v/>
      </c>
      <c r="J31" s="81">
        <f>IFERROR(HistoricalFS!J6/SUM(HistoricalFS!J47:J48),0)</f>
        <v/>
      </c>
      <c r="K31" s="81">
        <f>IFERROR(HistoricalFS!K6/SUM(HistoricalFS!K47:K48),0)</f>
        <v/>
      </c>
      <c r="L31" s="81">
        <f>IFERROR(HistoricalFS!L6/SUM(HistoricalFS!L47:L48),0)</f>
        <v/>
      </c>
      <c r="M31" s="42" t="n"/>
      <c r="N31" s="82">
        <f>IFERROR(AVERAGE(C31:L31),0)</f>
        <v/>
      </c>
      <c r="O31" s="82">
        <f>IFERROR(MEDIAN(C31:L31),0)</f>
        <v/>
      </c>
    </row>
    <row r="32">
      <c r="N32" s="29" t="n"/>
    </row>
    <row r="33">
      <c r="B33" s="17" t="inlineStr">
        <is>
          <t>(in days)</t>
        </is>
      </c>
      <c r="N33" s="29" t="n"/>
    </row>
    <row r="34">
      <c r="B34" s="26" t="inlineStr">
        <is>
          <t xml:space="preserve">Debtor Days </t>
        </is>
      </c>
      <c r="C34" s="86">
        <f>IFERROR(365/C27,0)</f>
        <v/>
      </c>
      <c r="D34" s="86">
        <f>IFERROR(365/D27,0)</f>
        <v/>
      </c>
      <c r="E34" s="86">
        <f>IFERROR(365/E27,0)</f>
        <v/>
      </c>
      <c r="F34" s="86">
        <f>IFERROR(365/F27,0)</f>
        <v/>
      </c>
      <c r="G34" s="86">
        <f>IFERROR(365/G27,0)</f>
        <v/>
      </c>
      <c r="H34" s="86">
        <f>IFERROR(365/H27,0)</f>
        <v/>
      </c>
      <c r="I34" s="86">
        <f>IFERROR(365/I27,0)</f>
        <v/>
      </c>
      <c r="J34" s="86">
        <f>IFERROR(365/J27,0)</f>
        <v/>
      </c>
      <c r="K34" s="86">
        <f>IFERROR(365/K27,0)</f>
        <v/>
      </c>
      <c r="L34" s="86">
        <f>IFERROR(365/L27,0)</f>
        <v/>
      </c>
      <c r="M34" s="41" t="n"/>
      <c r="N34" s="87">
        <f>IFERROR(AVERAGE(C34:L34),0)</f>
        <v/>
      </c>
      <c r="O34" s="87">
        <f>IFERROR(MEDIAN(C34:L34),0)</f>
        <v/>
      </c>
    </row>
    <row r="35">
      <c r="B35" t="inlineStr">
        <is>
          <t xml:space="preserve">Payable Days </t>
        </is>
      </c>
      <c r="C35" s="88">
        <f>IFERROR(365/C28,0)</f>
        <v/>
      </c>
      <c r="D35" s="88">
        <f>IFERROR(365/D28,0)</f>
        <v/>
      </c>
      <c r="E35" s="88">
        <f>IFERROR(365/E28,0)</f>
        <v/>
      </c>
      <c r="F35" s="88">
        <f>IFERROR(365/F28,0)</f>
        <v/>
      </c>
      <c r="G35" s="88">
        <f>IFERROR(365/G28,0)</f>
        <v/>
      </c>
      <c r="H35" s="88">
        <f>IFERROR(365/H28,0)</f>
        <v/>
      </c>
      <c r="I35" s="88">
        <f>IFERROR(365/I28,0)</f>
        <v/>
      </c>
      <c r="J35" s="88">
        <f>IFERROR(365/J28,0)</f>
        <v/>
      </c>
      <c r="K35" s="88">
        <f>IFERROR(365/K28,0)</f>
        <v/>
      </c>
      <c r="L35" s="88">
        <f>IFERROR(365/L28,0)</f>
        <v/>
      </c>
      <c r="N35" s="88">
        <f>IFERROR(AVERAGE(C35:L35),0)</f>
        <v/>
      </c>
      <c r="O35" s="88">
        <f>IFERROR(MEDIAN(C35:L35),0)</f>
        <v/>
      </c>
    </row>
    <row r="36">
      <c r="B36" t="inlineStr">
        <is>
          <t xml:space="preserve">Inventory Days </t>
        </is>
      </c>
      <c r="C36" s="88">
        <f>IFERROR(365/C29,0)</f>
        <v/>
      </c>
      <c r="D36" s="88">
        <f>IFERROR(365/D29,0)</f>
        <v/>
      </c>
      <c r="E36" s="88">
        <f>IFERROR(365/E29,0)</f>
        <v/>
      </c>
      <c r="F36" s="88">
        <f>IFERROR(365/F29,0)</f>
        <v/>
      </c>
      <c r="G36" s="88">
        <f>IFERROR(365/G29,0)</f>
        <v/>
      </c>
      <c r="H36" s="88">
        <f>IFERROR(365/H29,0)</f>
        <v/>
      </c>
      <c r="I36" s="88">
        <f>IFERROR(365/I29,0)</f>
        <v/>
      </c>
      <c r="J36" s="88">
        <f>IFERROR(365/J29,0)</f>
        <v/>
      </c>
      <c r="K36" s="88">
        <f>IFERROR(365/K29,0)</f>
        <v/>
      </c>
      <c r="L36" s="88">
        <f>IFERROR(365/L29,0)</f>
        <v/>
      </c>
      <c r="N36" s="88">
        <f>IFERROR(AVERAGE(C36:L36),0)</f>
        <v/>
      </c>
      <c r="O36" s="88">
        <f>IFERROR(MEDIAN(C36:L36),0)</f>
        <v/>
      </c>
    </row>
    <row r="37">
      <c r="B37" s="30" t="inlineStr">
        <is>
          <t>Cash Coversion Cycle</t>
        </is>
      </c>
      <c r="C37" s="89">
        <f>SUM(C34+C36)-C35</f>
        <v/>
      </c>
      <c r="D37" s="89">
        <f>SUM(D34+D36)-D35</f>
        <v/>
      </c>
      <c r="E37" s="89">
        <f>SUM(E34+E36)-E35</f>
        <v/>
      </c>
      <c r="F37" s="89">
        <f>SUM(F34+F36)-F35</f>
        <v/>
      </c>
      <c r="G37" s="89">
        <f>SUM(G34+G36)-G35</f>
        <v/>
      </c>
      <c r="H37" s="89">
        <f>SUM(H34+H36)-H35</f>
        <v/>
      </c>
      <c r="I37" s="89">
        <f>SUM(I34+I36)-I35</f>
        <v/>
      </c>
      <c r="J37" s="89">
        <f>SUM(J34+J36)-J35</f>
        <v/>
      </c>
      <c r="K37" s="89">
        <f>SUM(K34+K36)-K35</f>
        <v/>
      </c>
      <c r="L37" s="89">
        <f>SUM(L34+L36)-L35</f>
        <v/>
      </c>
      <c r="M37" s="42" t="n"/>
      <c r="N37" s="90">
        <f>IFERROR(AVERAGE(C37:L37),0)</f>
        <v/>
      </c>
      <c r="O37" s="90">
        <f>IFERROR(MEDIAN(C37:L37),0)</f>
        <v/>
      </c>
    </row>
    <row r="38">
      <c r="N38" s="29" t="n"/>
    </row>
    <row r="39">
      <c r="B39" s="26" t="inlineStr">
        <is>
          <t>CFO/Sales</t>
        </is>
      </c>
      <c r="C39" s="27">
        <f>IFERROR(HistoricalFS!C78/HistoricalFS!C6,0)</f>
        <v/>
      </c>
      <c r="D39" s="27">
        <f>IFERROR(HistoricalFS!D78/HistoricalFS!D6,0)</f>
        <v/>
      </c>
      <c r="E39" s="27">
        <f>IFERROR(HistoricalFS!E78/HistoricalFS!E6,0)</f>
        <v/>
      </c>
      <c r="F39" s="27">
        <f>IFERROR(HistoricalFS!F78/HistoricalFS!F6,0)</f>
        <v/>
      </c>
      <c r="G39" s="27">
        <f>IFERROR(HistoricalFS!G78/HistoricalFS!G6,0)</f>
        <v/>
      </c>
      <c r="H39" s="27">
        <f>IFERROR(HistoricalFS!H78/HistoricalFS!H6,0)</f>
        <v/>
      </c>
      <c r="I39" s="27">
        <f>IFERROR(HistoricalFS!I78/HistoricalFS!I6,0)</f>
        <v/>
      </c>
      <c r="J39" s="27">
        <f>IFERROR(HistoricalFS!J78/HistoricalFS!J6,0)</f>
        <v/>
      </c>
      <c r="K39" s="27">
        <f>IFERROR(HistoricalFS!K78/HistoricalFS!K6,0)</f>
        <v/>
      </c>
      <c r="L39" s="27">
        <f>IFERROR(HistoricalFS!L78/HistoricalFS!L6,0)</f>
        <v/>
      </c>
      <c r="M39" s="41" t="n"/>
      <c r="N39" s="39">
        <f>IFERROR(AVERAGE(C39:L39),0)</f>
        <v/>
      </c>
      <c r="O39" s="39">
        <f>IFERROR(MEDIAN(C39:L39),0)</f>
        <v/>
      </c>
    </row>
    <row r="40">
      <c r="B40" t="inlineStr">
        <is>
          <t xml:space="preserve">CFO/Total Assets </t>
        </is>
      </c>
      <c r="C40" s="29">
        <f>IFERROR(HistoricalFS!C78/HistoricalFS!C64,0)</f>
        <v/>
      </c>
      <c r="D40" s="29">
        <f>IFERROR(HistoricalFS!D78/HistoricalFS!D64,0)</f>
        <v/>
      </c>
      <c r="E40" s="29">
        <f>IFERROR(HistoricalFS!E78/HistoricalFS!E64,0)</f>
        <v/>
      </c>
      <c r="F40" s="29">
        <f>IFERROR(HistoricalFS!F78/HistoricalFS!F64,0)</f>
        <v/>
      </c>
      <c r="G40" s="29">
        <f>IFERROR(HistoricalFS!G78/HistoricalFS!G64,0)</f>
        <v/>
      </c>
      <c r="H40" s="29">
        <f>IFERROR(HistoricalFS!H78/HistoricalFS!H64,0)</f>
        <v/>
      </c>
      <c r="I40" s="29">
        <f>IFERROR(HistoricalFS!I78/HistoricalFS!I64,0)</f>
        <v/>
      </c>
      <c r="J40" s="29">
        <f>IFERROR(HistoricalFS!J78/HistoricalFS!J64,0)</f>
        <v/>
      </c>
      <c r="K40" s="29">
        <f>IFERROR(HistoricalFS!K78/HistoricalFS!K64,0)</f>
        <v/>
      </c>
      <c r="L40" s="29">
        <f>IFERROR(HistoricalFS!L78/HistoricalFS!L64,0)</f>
        <v/>
      </c>
      <c r="N40" s="29">
        <f>IFERROR(AVERAGE(C40:L40),0)</f>
        <v/>
      </c>
      <c r="O40" s="29">
        <f>IFERROR(MEDIAN(C40:L40),0)</f>
        <v/>
      </c>
    </row>
    <row r="41">
      <c r="B41" s="30" t="inlineStr">
        <is>
          <t xml:space="preserve">CFO/Total Debt </t>
        </is>
      </c>
      <c r="C41" s="31">
        <f>IFERROR(HistoricalFS!C78/HistoricalFS!C49,0)</f>
        <v/>
      </c>
      <c r="D41" s="31">
        <f>IFERROR(HistoricalFS!D78/HistoricalFS!D49,0)</f>
        <v/>
      </c>
      <c r="E41" s="31">
        <f>IFERROR(HistoricalFS!E78/HistoricalFS!E49,0)</f>
        <v/>
      </c>
      <c r="F41" s="31">
        <f>IFERROR(HistoricalFS!F78/HistoricalFS!F49,0)</f>
        <v/>
      </c>
      <c r="G41" s="31">
        <f>IFERROR(HistoricalFS!G78/HistoricalFS!G49,0)</f>
        <v/>
      </c>
      <c r="H41" s="31">
        <f>IFERROR(HistoricalFS!H78/HistoricalFS!H49,0)</f>
        <v/>
      </c>
      <c r="I41" s="31">
        <f>IFERROR(HistoricalFS!I78/HistoricalFS!I49,0)</f>
        <v/>
      </c>
      <c r="J41" s="31">
        <f>IFERROR(HistoricalFS!J78/HistoricalFS!J49,0)</f>
        <v/>
      </c>
      <c r="K41" s="31">
        <f>IFERROR(HistoricalFS!K78/HistoricalFS!K49,0)</f>
        <v/>
      </c>
      <c r="L41" s="31">
        <f>IFERROR(HistoricalFS!L78/HistoricalFS!L49,0)</f>
        <v/>
      </c>
      <c r="M41" s="42" t="n"/>
      <c r="N41" s="40">
        <f>IFERROR(AVERAGE(C41:L41),0)</f>
        <v/>
      </c>
      <c r="O41" s="40">
        <f>IFERROR(MEDIAN(C41:L41),0)</f>
        <v/>
      </c>
    </row>
  </sheetData>
  <mergeCells count="1">
    <mergeCell ref="B2:O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21"/>
  <sheetViews>
    <sheetView showGridLines="0" workbookViewId="0">
      <selection activeCell="N21" sqref="N21"/>
    </sheetView>
  </sheetViews>
  <sheetFormatPr baseColWidth="8" defaultRowHeight="14.4"/>
  <cols>
    <col width="1.88671875" customWidth="1" style="70" min="1" max="1"/>
    <col width="11.44140625" customWidth="1" style="70" min="2" max="2"/>
    <col width="8.77734375" customWidth="1" style="70" min="3" max="3"/>
    <col width="10.6640625" customWidth="1" style="70" min="4" max="4"/>
    <col width="14" customWidth="1" style="70" min="5" max="5"/>
  </cols>
  <sheetData>
    <row r="2">
      <c r="B2" s="71">
        <f>'Data Sheet 1'!B1&amp;" - "&amp;'Data Sheet 1'!A17&amp;" Forcasting"</f>
        <v/>
      </c>
    </row>
    <row r="3">
      <c r="B3" s="49" t="inlineStr">
        <is>
          <t>Year Weight</t>
        </is>
      </c>
      <c r="C3" s="50" t="inlineStr">
        <is>
          <t>Year</t>
        </is>
      </c>
      <c r="D3" s="50" t="inlineStr">
        <is>
          <t>Sales</t>
        </is>
      </c>
      <c r="E3" s="50" t="inlineStr">
        <is>
          <t>Sales Growth</t>
        </is>
      </c>
    </row>
    <row r="4">
      <c r="B4" s="47" t="n">
        <v>1</v>
      </c>
      <c r="C4" s="91">
        <f>'Data Sheet 1'!B48</f>
        <v/>
      </c>
      <c r="D4" s="66">
        <f t="array" ref="D4:D13">TRANSPOSE('Data Sheet 1'!B17:K17)</f>
        <v/>
      </c>
    </row>
    <row r="5">
      <c r="B5" s="47">
        <f>B4+1</f>
        <v/>
      </c>
      <c r="C5" s="91">
        <f>C4+365</f>
        <v/>
      </c>
      <c r="D5" s="66" t="n">
        <v>16119.77</v>
      </c>
      <c r="E5" s="29">
        <f>D5/D4-1</f>
        <v/>
      </c>
    </row>
    <row r="6">
      <c r="B6" s="47">
        <f>B5+1</f>
        <v/>
      </c>
      <c r="C6" s="91">
        <f>C5+365</f>
        <v/>
      </c>
      <c r="D6" s="66" t="n">
        <v>19778.52</v>
      </c>
      <c r="E6" s="29">
        <f>D6/D5-1</f>
        <v/>
      </c>
    </row>
    <row r="7">
      <c r="B7" s="47">
        <f>B6+1</f>
        <v/>
      </c>
      <c r="C7" s="91">
        <f>C6+365</f>
        <v/>
      </c>
      <c r="D7" s="66" t="n">
        <v>21052</v>
      </c>
      <c r="E7" s="29">
        <f>D7/D6-1</f>
        <v/>
      </c>
    </row>
    <row r="8">
      <c r="B8" s="47">
        <f>B7+1</f>
        <v/>
      </c>
      <c r="C8" s="91">
        <f>C7+365</f>
        <v/>
      </c>
      <c r="D8" s="66" t="n">
        <v>21644</v>
      </c>
      <c r="E8" s="29">
        <f>D8/D7-1</f>
        <v/>
      </c>
    </row>
    <row r="9">
      <c r="B9" s="47">
        <f>B8+1</f>
        <v/>
      </c>
      <c r="C9" s="91">
        <f>C8+365</f>
        <v/>
      </c>
      <c r="D9" s="66" t="n">
        <v>28799</v>
      </c>
      <c r="E9" s="29">
        <f>D9/D8-1</f>
        <v/>
      </c>
    </row>
    <row r="10">
      <c r="B10" s="47">
        <f>B9+1</f>
        <v/>
      </c>
      <c r="C10" s="91">
        <f>C9+365</f>
        <v/>
      </c>
      <c r="D10" s="66" t="n">
        <v>40575</v>
      </c>
      <c r="E10" s="29">
        <f>D10/D9-1</f>
        <v/>
      </c>
    </row>
    <row r="11">
      <c r="B11" s="47">
        <f>B10+1</f>
        <v/>
      </c>
      <c r="C11" s="91">
        <f>C10+365</f>
        <v/>
      </c>
      <c r="D11" s="66" t="n">
        <v>51084</v>
      </c>
      <c r="E11" s="29">
        <f>D11/D10-1</f>
        <v/>
      </c>
    </row>
    <row r="12">
      <c r="B12" s="47">
        <f>B11+1</f>
        <v/>
      </c>
      <c r="C12" s="91">
        <f>C11+365</f>
        <v/>
      </c>
      <c r="D12" s="66" t="n">
        <v>60456</v>
      </c>
      <c r="E12" s="29">
        <f>D12/D11-1</f>
        <v/>
      </c>
    </row>
    <row r="13">
      <c r="B13" s="47">
        <f>B12+1</f>
        <v/>
      </c>
      <c r="C13" s="91">
        <f>C12+365</f>
        <v/>
      </c>
      <c r="D13" s="66" t="n">
        <v>87584</v>
      </c>
      <c r="E13" s="29">
        <f>D13/D12-1</f>
        <v/>
      </c>
    </row>
    <row r="14">
      <c r="B14" s="52">
        <f>B13+1</f>
        <v/>
      </c>
      <c r="C14" s="67">
        <f>C13+365</f>
        <v/>
      </c>
      <c r="D14" s="53">
        <f>FORECAST(B14,$D$4:$D$13,$B$4:$B$13)</f>
        <v/>
      </c>
      <c r="E14" s="54">
        <f>D14/D13-1</f>
        <v/>
      </c>
    </row>
    <row r="15">
      <c r="B15" s="52">
        <f>B14+1</f>
        <v/>
      </c>
      <c r="C15" s="67">
        <f>C14+365</f>
        <v/>
      </c>
      <c r="D15" s="53">
        <f>FORECAST(B15,$D$4:$D$13,$B$4:$B$13)</f>
        <v/>
      </c>
      <c r="E15" s="54">
        <f>D15/D14-1</f>
        <v/>
      </c>
    </row>
    <row r="16">
      <c r="B16" s="52">
        <f>B15+1</f>
        <v/>
      </c>
      <c r="C16" s="67">
        <f>C15+365</f>
        <v/>
      </c>
      <c r="D16" s="53">
        <f>FORECAST(B16,$D$4:$D$13,$B$4:$B$13)</f>
        <v/>
      </c>
      <c r="E16" s="54">
        <f>D16/D15-1</f>
        <v/>
      </c>
    </row>
    <row r="17">
      <c r="B17" s="52">
        <f>B16+1</f>
        <v/>
      </c>
      <c r="C17" s="67">
        <f>C16+365</f>
        <v/>
      </c>
      <c r="D17" s="53">
        <f>FORECAST(B17,$D$4:$D$13,$B$4:$B$13)</f>
        <v/>
      </c>
      <c r="E17" s="54">
        <f>D17/D16-1</f>
        <v/>
      </c>
    </row>
    <row r="18">
      <c r="B18" s="52">
        <f>B17+1</f>
        <v/>
      </c>
      <c r="C18" s="67">
        <f>C17+365</f>
        <v/>
      </c>
      <c r="D18" s="53">
        <f>FORECAST(B18,$D$4:$D$13,$B$4:$B$13)</f>
        <v/>
      </c>
      <c r="E18" s="54">
        <f>D18/D17-1</f>
        <v/>
      </c>
    </row>
    <row r="19">
      <c r="B19" s="47" t="n"/>
      <c r="C19" s="92" t="n"/>
    </row>
    <row r="20">
      <c r="B20" s="47" t="n"/>
      <c r="C20" s="92" t="n"/>
    </row>
    <row r="21">
      <c r="B21" t="inlineStr">
        <is>
          <t>Do it for EBITDA &amp; Earning per share</t>
        </is>
      </c>
    </row>
  </sheetData>
  <mergeCells count="1">
    <mergeCell ref="B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8" tint="-0.499984740745262"/>
    <outlinePr summaryBelow="1" summaryRight="1"/>
    <pageSetUpPr/>
  </sheetPr>
  <dimension ref="A1:A1"/>
  <sheetViews>
    <sheetView workbookViewId="0">
      <selection activeCell="H24" sqref="H24"/>
    </sheetView>
  </sheetViews>
  <sheetFormatPr baseColWidth="8"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A1:M77"/>
  <sheetViews>
    <sheetView zoomScale="73" zoomScaleNormal="73" zoomScaleSheetLayoutView="80" zoomScalePageLayoutView="120" workbookViewId="0">
      <pane xSplit="1" ySplit="1" topLeftCell="B9" activePane="bottomRight" state="frozen"/>
      <selection activeCell="C4" sqref="C4"/>
      <selection pane="topRight" activeCell="C4" sqref="C4"/>
      <selection pane="bottomLeft" activeCell="C4" sqref="C4"/>
      <selection pane="bottomRight" activeCell="A35" sqref="A35:K44"/>
    </sheetView>
  </sheetViews>
  <sheetFormatPr baseColWidth="8" defaultColWidth="8.77734375" defaultRowHeight="14.4" outlineLevelRow="1"/>
  <cols>
    <col width="27.6640625" bestFit="1" customWidth="1" style="73" min="1" max="1"/>
    <col width="13.44140625" bestFit="1" customWidth="1" style="73" min="2" max="11"/>
    <col width="8.77734375" customWidth="1" style="73" min="12" max="12"/>
    <col width="8.77734375" customWidth="1" style="73" min="13" max="16384"/>
  </cols>
  <sheetData>
    <row r="1" customFormat="1" s="75">
      <c r="A1" s="75" t="inlineStr">
        <is>
          <t>COMPANY NAME</t>
        </is>
      </c>
      <c r="B1" s="75" t="inlineStr">
        <is>
          <t>TITAN COMPANY LTD</t>
        </is>
      </c>
      <c r="E1" s="74">
        <f>IF(B2&lt;&gt;B3, "A NEW VERSION OF THE WORKSHEET IS AVAILABLE", "")</f>
        <v/>
      </c>
    </row>
    <row r="2">
      <c r="A2" s="75" t="inlineStr">
        <is>
          <t>LATEST VERSION</t>
        </is>
      </c>
      <c r="B2" s="73" t="n">
        <v>2.1</v>
      </c>
      <c r="E2" s="72" t="inlineStr">
        <is>
          <t>PLEASE DO NOT MAKE ANY CHANGES TO THIS SHEET</t>
        </is>
      </c>
    </row>
    <row r="3">
      <c r="A3" s="75" t="inlineStr">
        <is>
          <t>CURRENT VERSION</t>
        </is>
      </c>
      <c r="B3" s="73" t="n">
        <v>2.1</v>
      </c>
    </row>
    <row r="4">
      <c r="A4" s="75" t="n"/>
    </row>
    <row r="5">
      <c r="A5" s="75" t="inlineStr">
        <is>
          <t>META</t>
        </is>
      </c>
    </row>
    <row r="6">
      <c r="A6" s="73" t="inlineStr">
        <is>
          <t>Number of shares</t>
        </is>
      </c>
      <c r="B6" s="73">
        <f>IF(B9&gt;0, B9/B8, 0)</f>
        <v/>
      </c>
    </row>
    <row r="7">
      <c r="A7" s="73" t="inlineStr">
        <is>
          <t>Face Value</t>
        </is>
      </c>
      <c r="B7" t="n">
        <v>1</v>
      </c>
    </row>
    <row r="8">
      <c r="A8" s="73" t="inlineStr">
        <is>
          <t>Current Price</t>
        </is>
      </c>
      <c r="B8" t="n">
        <v>4941</v>
      </c>
    </row>
    <row r="9">
      <c r="A9" s="73" t="inlineStr">
        <is>
          <t>Market Capitalization</t>
        </is>
      </c>
      <c r="B9" t="n">
        <v>438655.14</v>
      </c>
    </row>
    <row r="15">
      <c r="A15" s="75" t="inlineStr">
        <is>
          <t>PROFIT &amp; LOSS</t>
        </is>
      </c>
    </row>
    <row r="16" customFormat="1" s="3">
      <c r="A16" s="4" t="inlineStr">
        <is>
          <t>Report Date</t>
        </is>
      </c>
      <c r="B16" s="55" t="n">
        <v>42825</v>
      </c>
      <c r="C16" s="55" t="n">
        <v>43190</v>
      </c>
      <c r="D16" s="55" t="n">
        <v>43555</v>
      </c>
      <c r="E16" s="55" t="n">
        <v>43921</v>
      </c>
      <c r="F16" s="55" t="n">
        <v>44286</v>
      </c>
      <c r="G16" s="55" t="n">
        <v>44651</v>
      </c>
      <c r="H16" s="55" t="n">
        <v>45016</v>
      </c>
      <c r="I16" s="55" t="n">
        <v>45382</v>
      </c>
      <c r="J16" s="55" t="n">
        <v>45747</v>
      </c>
      <c r="K16" s="55" t="n">
        <v>46112</v>
      </c>
    </row>
    <row r="17" customFormat="1" s="60">
      <c r="A17" s="60" t="inlineStr">
        <is>
          <t>Sales</t>
        </is>
      </c>
      <c r="B17" t="n">
        <v>13260.83</v>
      </c>
      <c r="C17" t="n">
        <v>16119.77</v>
      </c>
      <c r="D17" t="n">
        <v>19778.52</v>
      </c>
      <c r="E17" t="n">
        <v>21052</v>
      </c>
      <c r="F17" t="n">
        <v>21644</v>
      </c>
      <c r="G17" t="n">
        <v>28799</v>
      </c>
      <c r="H17" t="n">
        <v>40575</v>
      </c>
      <c r="I17" t="n">
        <v>51084</v>
      </c>
      <c r="J17" t="n">
        <v>60456</v>
      </c>
      <c r="K17" t="n">
        <v>87584</v>
      </c>
    </row>
    <row r="18" customFormat="1" s="60">
      <c r="A18" s="73" t="inlineStr">
        <is>
          <t>Raw Material Cost</t>
        </is>
      </c>
      <c r="B18" t="n">
        <v>9821.139999999999</v>
      </c>
      <c r="C18" t="n">
        <v>12664.83</v>
      </c>
      <c r="D18" t="n">
        <v>15170.66</v>
      </c>
      <c r="E18" t="n">
        <v>16033</v>
      </c>
      <c r="F18" t="n">
        <v>16292</v>
      </c>
      <c r="G18" t="n">
        <v>26436</v>
      </c>
      <c r="H18" t="n">
        <v>32589</v>
      </c>
      <c r="I18" t="n">
        <v>42103</v>
      </c>
      <c r="J18" t="n">
        <v>55271</v>
      </c>
      <c r="K18" t="n">
        <v>80243</v>
      </c>
      <c r="M18" s="73" t="n"/>
    </row>
    <row r="19" customFormat="1" s="60">
      <c r="A19" s="73" t="inlineStr">
        <is>
          <t>Change in Inventory</t>
        </is>
      </c>
      <c r="B19" t="n">
        <v>313.71</v>
      </c>
      <c r="C19" t="n">
        <v>978.61</v>
      </c>
      <c r="D19" t="n">
        <v>776.41</v>
      </c>
      <c r="E19" t="n">
        <v>878</v>
      </c>
      <c r="F19" t="n">
        <v>-122</v>
      </c>
      <c r="G19" t="n">
        <v>4795</v>
      </c>
      <c r="H19" t="n">
        <v>2234</v>
      </c>
      <c r="I19" t="n">
        <v>2671</v>
      </c>
      <c r="J19" t="n">
        <v>7815</v>
      </c>
      <c r="K19" t="n">
        <v>9936</v>
      </c>
      <c r="M19" s="73" t="n"/>
    </row>
    <row r="20" customFormat="1" s="60">
      <c r="A20" s="73" t="inlineStr">
        <is>
          <t>Power and Fuel</t>
        </is>
      </c>
      <c r="B20" t="n">
        <v>43.84</v>
      </c>
      <c r="C20" t="n">
        <v>45.32</v>
      </c>
      <c r="D20" t="n">
        <v>48.51</v>
      </c>
      <c r="E20" t="n">
        <v>52</v>
      </c>
      <c r="F20" t="n">
        <v>37</v>
      </c>
      <c r="G20" t="n">
        <v>45</v>
      </c>
      <c r="H20" t="n">
        <v>59</v>
      </c>
      <c r="I20" t="n">
        <v>71</v>
      </c>
      <c r="J20" t="n">
        <v>78</v>
      </c>
      <c r="K20" t="n">
        <v>87</v>
      </c>
      <c r="M20" s="73" t="n"/>
    </row>
    <row r="21" customFormat="1" s="60">
      <c r="A21" s="73" t="inlineStr">
        <is>
          <t>Other Mfr. Exp</t>
        </is>
      </c>
      <c r="B21" t="n">
        <v>160.42</v>
      </c>
      <c r="C21" t="n">
        <v>124.83</v>
      </c>
      <c r="D21" t="n">
        <v>193.28</v>
      </c>
      <c r="E21" t="n">
        <v>215</v>
      </c>
      <c r="F21" t="n">
        <v>141</v>
      </c>
      <c r="G21" t="n">
        <v>183</v>
      </c>
      <c r="H21" t="n">
        <v>225</v>
      </c>
      <c r="I21" t="n">
        <v>286</v>
      </c>
      <c r="J21" t="n">
        <v>326</v>
      </c>
      <c r="K21" t="n">
        <v>375</v>
      </c>
      <c r="M21" s="73" t="n"/>
    </row>
    <row r="22" customFormat="1" s="60">
      <c r="A22" s="73" t="inlineStr">
        <is>
          <t>Employee Cost</t>
        </is>
      </c>
      <c r="B22" t="n">
        <v>894.3200000000001</v>
      </c>
      <c r="C22" t="n">
        <v>906.26</v>
      </c>
      <c r="D22" t="n">
        <v>1024.44</v>
      </c>
      <c r="E22" t="n">
        <v>1204</v>
      </c>
      <c r="F22" t="n">
        <v>1069</v>
      </c>
      <c r="G22" t="n">
        <v>1356</v>
      </c>
      <c r="H22" t="n">
        <v>1656</v>
      </c>
      <c r="I22" t="n">
        <v>1875</v>
      </c>
      <c r="J22" t="n">
        <v>2164</v>
      </c>
      <c r="K22" t="n">
        <v>2692</v>
      </c>
      <c r="M22" s="73" t="n"/>
    </row>
    <row r="23" customFormat="1" s="60">
      <c r="A23" s="73" t="inlineStr">
        <is>
          <t>Selling and admin</t>
        </is>
      </c>
      <c r="B23" t="n">
        <v>1211.16</v>
      </c>
      <c r="C23" t="n">
        <v>1277.81</v>
      </c>
      <c r="D23" t="n">
        <v>1454.32</v>
      </c>
      <c r="E23" t="n">
        <v>1470</v>
      </c>
      <c r="F23" t="n">
        <v>1029</v>
      </c>
      <c r="G23" t="n">
        <v>1697</v>
      </c>
      <c r="H23" t="n">
        <v>2715</v>
      </c>
      <c r="I23" t="n">
        <v>3249</v>
      </c>
      <c r="J23" t="n">
        <v>3494</v>
      </c>
      <c r="K23" t="n">
        <v>4185</v>
      </c>
      <c r="M23" s="73" t="n"/>
    </row>
    <row r="24" customFormat="1" s="60">
      <c r="A24" s="73" t="inlineStr">
        <is>
          <t>Other Expenses</t>
        </is>
      </c>
      <c r="B24" t="n">
        <v>279.76</v>
      </c>
      <c r="C24" t="n">
        <v>435.13</v>
      </c>
      <c r="D24" t="n">
        <v>669.9299999999999</v>
      </c>
      <c r="E24" t="n">
        <v>493</v>
      </c>
      <c r="F24" t="n">
        <v>1229</v>
      </c>
      <c r="G24" t="n">
        <v>533</v>
      </c>
      <c r="H24" t="n">
        <v>683</v>
      </c>
      <c r="I24" t="n">
        <v>879</v>
      </c>
      <c r="J24" t="n">
        <v>1244</v>
      </c>
      <c r="K24" t="n">
        <v>1581</v>
      </c>
      <c r="M24" s="73" t="n"/>
    </row>
    <row r="25" customFormat="1" s="60">
      <c r="A25" s="60" t="inlineStr">
        <is>
          <t>Other Income</t>
        </is>
      </c>
      <c r="B25" t="n">
        <v>-42.38</v>
      </c>
      <c r="C25" t="n">
        <v>69.93000000000001</v>
      </c>
      <c r="D25" t="n">
        <v>178.48</v>
      </c>
      <c r="E25" t="n">
        <v>153</v>
      </c>
      <c r="F25" t="n">
        <v>180</v>
      </c>
      <c r="G25" t="n">
        <v>177</v>
      </c>
      <c r="H25" t="n">
        <v>306</v>
      </c>
      <c r="I25" t="n">
        <v>534</v>
      </c>
      <c r="J25" t="n">
        <v>487</v>
      </c>
      <c r="K25" t="n">
        <v>450</v>
      </c>
    </row>
    <row r="26" customFormat="1" s="60">
      <c r="A26" s="60" t="inlineStr">
        <is>
          <t>Depreciation</t>
        </is>
      </c>
      <c r="B26" t="n">
        <v>110.53</v>
      </c>
      <c r="C26" t="n">
        <v>131.43</v>
      </c>
      <c r="D26" t="n">
        <v>162.84</v>
      </c>
      <c r="E26" t="n">
        <v>348</v>
      </c>
      <c r="F26" t="n">
        <v>375</v>
      </c>
      <c r="G26" t="n">
        <v>399</v>
      </c>
      <c r="H26" t="n">
        <v>441</v>
      </c>
      <c r="I26" t="n">
        <v>584</v>
      </c>
      <c r="J26" t="n">
        <v>693</v>
      </c>
      <c r="K26" t="n">
        <v>826</v>
      </c>
    </row>
    <row r="27" customFormat="1" s="60">
      <c r="A27" s="60" t="inlineStr">
        <is>
          <t>Interest</t>
        </is>
      </c>
      <c r="B27" t="n">
        <v>37.74</v>
      </c>
      <c r="C27" t="n">
        <v>52.92</v>
      </c>
      <c r="D27" t="n">
        <v>52.54</v>
      </c>
      <c r="E27" t="n">
        <v>166</v>
      </c>
      <c r="F27" t="n">
        <v>203</v>
      </c>
      <c r="G27" t="n">
        <v>218</v>
      </c>
      <c r="H27" t="n">
        <v>300</v>
      </c>
      <c r="I27" t="n">
        <v>619</v>
      </c>
      <c r="J27" t="n">
        <v>953</v>
      </c>
      <c r="K27" t="n">
        <v>1180</v>
      </c>
    </row>
    <row r="28" customFormat="1" s="60">
      <c r="A28" s="60" t="inlineStr">
        <is>
          <t>Profit before tax</t>
        </is>
      </c>
      <c r="B28" t="n">
        <v>973.25</v>
      </c>
      <c r="C28" t="n">
        <v>1529.78</v>
      </c>
      <c r="D28" t="n">
        <v>1956.89</v>
      </c>
      <c r="E28" t="n">
        <v>2102</v>
      </c>
      <c r="F28" t="n">
        <v>1327</v>
      </c>
      <c r="G28" t="n">
        <v>2904</v>
      </c>
      <c r="H28" t="n">
        <v>4447</v>
      </c>
      <c r="I28" t="n">
        <v>4623</v>
      </c>
      <c r="J28" t="n">
        <v>4535</v>
      </c>
      <c r="K28" t="n">
        <v>6801</v>
      </c>
    </row>
    <row r="29" customFormat="1" s="60">
      <c r="A29" s="60" t="inlineStr">
        <is>
          <t>Tax</t>
        </is>
      </c>
      <c r="B29" t="n">
        <v>275.97</v>
      </c>
      <c r="C29" t="n">
        <v>427.87</v>
      </c>
      <c r="D29" t="n">
        <v>568.24</v>
      </c>
      <c r="E29" t="n">
        <v>609</v>
      </c>
      <c r="F29" t="n">
        <v>353</v>
      </c>
      <c r="G29" t="n">
        <v>706</v>
      </c>
      <c r="H29" t="n">
        <v>1173</v>
      </c>
      <c r="I29" t="n">
        <v>1127</v>
      </c>
      <c r="J29" t="n">
        <v>1198</v>
      </c>
      <c r="K29" t="n">
        <v>1728</v>
      </c>
    </row>
    <row r="30" customFormat="1" s="60">
      <c r="A30" s="60" t="inlineStr">
        <is>
          <t>Net profit</t>
        </is>
      </c>
      <c r="B30" t="n">
        <v>711.47</v>
      </c>
      <c r="C30" t="n">
        <v>1130.09</v>
      </c>
      <c r="D30" t="n">
        <v>1404.15</v>
      </c>
      <c r="E30" t="n">
        <v>1501</v>
      </c>
      <c r="F30" t="n">
        <v>973</v>
      </c>
      <c r="G30" t="n">
        <v>2173</v>
      </c>
      <c r="H30" t="n">
        <v>3250</v>
      </c>
      <c r="I30" t="n">
        <v>3496</v>
      </c>
      <c r="J30" t="n">
        <v>3337</v>
      </c>
      <c r="K30" t="n">
        <v>5073</v>
      </c>
    </row>
    <row r="31" customFormat="1" s="60">
      <c r="A31" s="60" t="inlineStr">
        <is>
          <t>Dividend Amount</t>
        </is>
      </c>
      <c r="B31" t="n">
        <v>230.83</v>
      </c>
      <c r="C31" t="n">
        <v>332.92</v>
      </c>
      <c r="D31" t="n">
        <v>443.9</v>
      </c>
      <c r="E31" t="n">
        <v>356</v>
      </c>
      <c r="F31" t="n">
        <v>356</v>
      </c>
      <c r="G31" t="n">
        <v>667.5</v>
      </c>
      <c r="H31" t="n">
        <v>890</v>
      </c>
      <c r="I31" t="n">
        <v>979</v>
      </c>
      <c r="J31" t="n">
        <v>979</v>
      </c>
      <c r="K31" t="n">
        <v>1335</v>
      </c>
    </row>
    <row r="32" ht="15" customFormat="1" customHeight="1" s="60"/>
    <row r="33">
      <c r="A33" s="60" t="n"/>
      <c r="M33" s="60" t="n"/>
    </row>
    <row r="34">
      <c r="A34" s="75" t="inlineStr">
        <is>
          <t>Quarters</t>
        </is>
      </c>
    </row>
    <row r="35" hidden="1" outlineLevel="1" customFormat="1" s="3">
      <c r="A35" s="4" t="inlineStr">
        <is>
          <t>Report Date</t>
        </is>
      </c>
      <c r="B35" s="55" t="n">
        <v>45382</v>
      </c>
      <c r="C35" s="55" t="n">
        <v>45473</v>
      </c>
      <c r="D35" s="55" t="n">
        <v>45565</v>
      </c>
      <c r="E35" s="55" t="n">
        <v>45657</v>
      </c>
      <c r="F35" s="55" t="n">
        <v>45747</v>
      </c>
      <c r="G35" s="55" t="n">
        <v>45838</v>
      </c>
      <c r="H35" s="55" t="n">
        <v>45930</v>
      </c>
      <c r="I35" s="55" t="n">
        <v>46022</v>
      </c>
      <c r="J35" s="55" t="n">
        <v>46112</v>
      </c>
      <c r="K35" s="55" t="n">
        <v>46203</v>
      </c>
      <c r="M35" s="73" t="n"/>
    </row>
    <row r="36" hidden="1" outlineLevel="1" customFormat="1" s="60">
      <c r="A36" s="60" t="inlineStr">
        <is>
          <t>Sales</t>
        </is>
      </c>
      <c r="B36" t="n">
        <v>12494</v>
      </c>
      <c r="C36" t="n">
        <v>13266</v>
      </c>
      <c r="D36" t="n">
        <v>14534</v>
      </c>
      <c r="E36" t="n">
        <v>17740</v>
      </c>
      <c r="F36" t="n">
        <v>14916</v>
      </c>
      <c r="G36" t="n">
        <v>16523</v>
      </c>
      <c r="H36" t="n">
        <v>18725</v>
      </c>
      <c r="I36" t="n">
        <v>25416</v>
      </c>
      <c r="J36" t="n">
        <v>26920</v>
      </c>
      <c r="K36" t="n">
        <v>21356</v>
      </c>
    </row>
    <row r="37" hidden="1" outlineLevel="1" customFormat="1" s="60">
      <c r="A37" s="60" t="inlineStr">
        <is>
          <t>Expenses</t>
        </is>
      </c>
      <c r="B37" t="n">
        <v>11303</v>
      </c>
      <c r="C37" t="n">
        <v>12019</v>
      </c>
      <c r="D37" t="n">
        <v>13298</v>
      </c>
      <c r="E37" t="n">
        <v>16066</v>
      </c>
      <c r="F37" t="n">
        <v>13379</v>
      </c>
      <c r="G37" t="n">
        <v>14693</v>
      </c>
      <c r="H37" t="n">
        <v>16850</v>
      </c>
      <c r="I37" t="n">
        <v>22703</v>
      </c>
      <c r="J37" t="n">
        <v>24982</v>
      </c>
      <c r="K37" t="n">
        <v>18466</v>
      </c>
      <c r="M37" s="73" t="n"/>
    </row>
    <row r="38" hidden="1" outlineLevel="1" customFormat="1" s="60">
      <c r="A38" s="60" t="inlineStr">
        <is>
          <t>Other Income</t>
        </is>
      </c>
      <c r="B38" t="n">
        <v>159</v>
      </c>
      <c r="C38" t="n">
        <v>120</v>
      </c>
      <c r="D38" t="n">
        <v>123</v>
      </c>
      <c r="E38" t="n">
        <v>128</v>
      </c>
      <c r="F38" t="n">
        <v>116</v>
      </c>
      <c r="G38" t="n">
        <v>105</v>
      </c>
      <c r="H38" t="n">
        <v>113</v>
      </c>
      <c r="I38" t="n">
        <v>-1</v>
      </c>
      <c r="J38" t="n">
        <v>235</v>
      </c>
      <c r="K38" t="n">
        <v>148</v>
      </c>
      <c r="M38" s="73" t="n"/>
    </row>
    <row r="39" hidden="1" outlineLevel="1" customFormat="1" s="60">
      <c r="A39" s="60" t="inlineStr">
        <is>
          <t>Depreciation</t>
        </is>
      </c>
      <c r="B39" t="n">
        <v>158</v>
      </c>
      <c r="C39" t="n">
        <v>164</v>
      </c>
      <c r="D39" t="n">
        <v>171</v>
      </c>
      <c r="E39" t="n">
        <v>175</v>
      </c>
      <c r="F39" t="n">
        <v>183</v>
      </c>
      <c r="G39" t="n">
        <v>184</v>
      </c>
      <c r="H39" t="n">
        <v>189</v>
      </c>
      <c r="I39" t="n">
        <v>207</v>
      </c>
      <c r="J39" t="n">
        <v>246</v>
      </c>
      <c r="K39" t="n">
        <v>256</v>
      </c>
      <c r="M39" s="73" t="n"/>
    </row>
    <row r="40" hidden="1" outlineLevel="1" customFormat="1" s="60">
      <c r="A40" s="60" t="inlineStr">
        <is>
          <t>Interest</t>
        </is>
      </c>
      <c r="B40" t="n">
        <v>201</v>
      </c>
      <c r="C40" t="n">
        <v>230</v>
      </c>
      <c r="D40" t="n">
        <v>240</v>
      </c>
      <c r="E40" t="n">
        <v>231</v>
      </c>
      <c r="F40" t="n">
        <v>252</v>
      </c>
      <c r="G40" t="n">
        <v>271</v>
      </c>
      <c r="H40" t="n">
        <v>277</v>
      </c>
      <c r="I40" t="n">
        <v>282</v>
      </c>
      <c r="J40" t="n">
        <v>350</v>
      </c>
      <c r="K40" t="n">
        <v>353</v>
      </c>
      <c r="M40" s="73" t="n"/>
    </row>
    <row r="41" hidden="1" outlineLevel="1" customFormat="1" s="60">
      <c r="A41" s="60" t="inlineStr">
        <is>
          <t>Profit before tax</t>
        </is>
      </c>
      <c r="B41" t="n">
        <v>991</v>
      </c>
      <c r="C41" t="n">
        <v>973</v>
      </c>
      <c r="D41" t="n">
        <v>948</v>
      </c>
      <c r="E41" t="n">
        <v>1396</v>
      </c>
      <c r="F41" t="n">
        <v>1218</v>
      </c>
      <c r="G41" t="n">
        <v>1480</v>
      </c>
      <c r="H41" t="n">
        <v>1522</v>
      </c>
      <c r="I41" t="n">
        <v>2223</v>
      </c>
      <c r="J41" t="n">
        <v>1577</v>
      </c>
      <c r="K41" t="n">
        <v>2429</v>
      </c>
    </row>
    <row r="42" hidden="1" outlineLevel="1" customFormat="1" s="60">
      <c r="A42" s="60" t="inlineStr">
        <is>
          <t>Tax</t>
        </is>
      </c>
      <c r="B42" t="n">
        <v>220</v>
      </c>
      <c r="C42" t="n">
        <v>258</v>
      </c>
      <c r="D42" t="n">
        <v>244</v>
      </c>
      <c r="E42" t="n">
        <v>349</v>
      </c>
      <c r="F42" t="n">
        <v>347</v>
      </c>
      <c r="G42" t="n">
        <v>389</v>
      </c>
      <c r="H42" t="n">
        <v>402</v>
      </c>
      <c r="I42" t="n">
        <v>539</v>
      </c>
      <c r="J42" t="n">
        <v>398</v>
      </c>
      <c r="K42" t="n">
        <v>652</v>
      </c>
    </row>
    <row r="43" hidden="1" outlineLevel="1" customFormat="1" s="60">
      <c r="A43" s="60" t="inlineStr">
        <is>
          <t>Net profit</t>
        </is>
      </c>
      <c r="B43" t="n">
        <v>771</v>
      </c>
      <c r="C43" t="n">
        <v>715</v>
      </c>
      <c r="D43" t="n">
        <v>704</v>
      </c>
      <c r="E43" t="n">
        <v>1047</v>
      </c>
      <c r="F43" t="n">
        <v>871</v>
      </c>
      <c r="G43" t="n">
        <v>1091</v>
      </c>
      <c r="H43" t="n">
        <v>1120</v>
      </c>
      <c r="I43" t="n">
        <v>1684</v>
      </c>
      <c r="J43" t="n">
        <v>1179</v>
      </c>
      <c r="K43" t="n">
        <v>1777</v>
      </c>
    </row>
    <row r="44" hidden="1" outlineLevel="1" s="70">
      <c r="A44" s="60" t="inlineStr">
        <is>
          <t>Operating Profit</t>
        </is>
      </c>
      <c r="B44" t="n">
        <v>1191</v>
      </c>
      <c r="C44" t="n">
        <v>1247</v>
      </c>
      <c r="D44" t="n">
        <v>1236</v>
      </c>
      <c r="E44" t="n">
        <v>1674</v>
      </c>
      <c r="F44" t="n">
        <v>1537</v>
      </c>
      <c r="G44" t="n">
        <v>1830</v>
      </c>
      <c r="H44" t="n">
        <v>1875</v>
      </c>
      <c r="I44" t="n">
        <v>2713</v>
      </c>
      <c r="J44" t="n">
        <v>1938</v>
      </c>
      <c r="K44" t="n">
        <v>2890</v>
      </c>
    </row>
    <row r="45" collapsed="1" s="70">
      <c r="A45" s="60" t="n"/>
    </row>
    <row r="46">
      <c r="A46" s="60" t="n"/>
    </row>
    <row r="47">
      <c r="A47" s="75" t="inlineStr">
        <is>
          <t>BALANCE SHEET</t>
        </is>
      </c>
    </row>
    <row r="48" customFormat="1" s="3">
      <c r="A48" s="4" t="inlineStr">
        <is>
          <t>Report Date</t>
        </is>
      </c>
      <c r="B48" s="55" t="n">
        <v>42825</v>
      </c>
      <c r="C48" s="55" t="n">
        <v>43190</v>
      </c>
      <c r="D48" s="55" t="n">
        <v>43555</v>
      </c>
      <c r="E48" s="55" t="n">
        <v>43921</v>
      </c>
      <c r="F48" s="55" t="n">
        <v>44286</v>
      </c>
      <c r="G48" s="55" t="n">
        <v>44651</v>
      </c>
      <c r="H48" s="55" t="n">
        <v>45016</v>
      </c>
      <c r="I48" s="55" t="n">
        <v>45382</v>
      </c>
      <c r="J48" s="55" t="n">
        <v>45747</v>
      </c>
      <c r="K48" s="55" t="n">
        <v>46112</v>
      </c>
    </row>
    <row r="49">
      <c r="A49" s="60" t="inlineStr">
        <is>
          <t>Equity Share Capital</t>
        </is>
      </c>
      <c r="B49" t="n">
        <v>88.78</v>
      </c>
      <c r="C49" t="n">
        <v>88.78</v>
      </c>
      <c r="D49" t="n">
        <v>88.78</v>
      </c>
      <c r="E49" t="n">
        <v>89</v>
      </c>
      <c r="F49" t="n">
        <v>89</v>
      </c>
      <c r="G49" t="n">
        <v>89</v>
      </c>
      <c r="H49" t="n">
        <v>89</v>
      </c>
      <c r="I49" t="n">
        <v>89</v>
      </c>
      <c r="J49" t="n">
        <v>89</v>
      </c>
      <c r="K49" t="n">
        <v>89</v>
      </c>
    </row>
    <row r="50">
      <c r="A50" s="60" t="inlineStr">
        <is>
          <t>Reserves</t>
        </is>
      </c>
      <c r="B50" t="n">
        <v>4143.6</v>
      </c>
      <c r="C50" t="n">
        <v>5001.1</v>
      </c>
      <c r="D50" t="n">
        <v>5981.37</v>
      </c>
      <c r="E50" t="n">
        <v>6580</v>
      </c>
      <c r="F50" t="n">
        <v>7408</v>
      </c>
      <c r="G50" t="n">
        <v>9214</v>
      </c>
      <c r="H50" t="n">
        <v>11762</v>
      </c>
      <c r="I50" t="n">
        <v>9304</v>
      </c>
      <c r="J50" t="n">
        <v>11535</v>
      </c>
      <c r="K50" t="n">
        <v>15614</v>
      </c>
    </row>
    <row r="51">
      <c r="A51" s="60" t="inlineStr">
        <is>
          <t>Borrowings</t>
        </is>
      </c>
      <c r="B51" t="n">
        <v>1882.43</v>
      </c>
      <c r="C51" t="n">
        <v>1691.01</v>
      </c>
      <c r="D51" t="n">
        <v>2392.98</v>
      </c>
      <c r="E51" t="n">
        <v>3562</v>
      </c>
      <c r="F51" t="n">
        <v>5638</v>
      </c>
      <c r="G51" t="n">
        <v>7275</v>
      </c>
      <c r="H51" t="n">
        <v>9367</v>
      </c>
      <c r="I51" t="n">
        <v>15528</v>
      </c>
      <c r="J51" t="n">
        <v>20777</v>
      </c>
      <c r="K51" t="n">
        <v>30621</v>
      </c>
    </row>
    <row r="52">
      <c r="A52" s="60" t="inlineStr">
        <is>
          <t>Other Liabilities</t>
        </is>
      </c>
      <c r="B52" t="n">
        <v>2292.76</v>
      </c>
      <c r="C52" t="n">
        <v>2740.15</v>
      </c>
      <c r="D52" t="n">
        <v>3246.71</v>
      </c>
      <c r="E52" t="n">
        <v>3313</v>
      </c>
      <c r="F52" t="n">
        <v>3309</v>
      </c>
      <c r="G52" t="n">
        <v>4610</v>
      </c>
      <c r="H52" t="n">
        <v>5802</v>
      </c>
      <c r="I52" t="n">
        <v>6626</v>
      </c>
      <c r="J52" t="n">
        <v>8244</v>
      </c>
      <c r="K52" t="n">
        <v>14237</v>
      </c>
    </row>
    <row r="53" customFormat="1" s="75">
      <c r="A53" s="75" t="inlineStr">
        <is>
          <t>Total</t>
        </is>
      </c>
      <c r="B53" t="n">
        <v>8407.57</v>
      </c>
      <c r="C53" t="n">
        <v>9521.040000000001</v>
      </c>
      <c r="D53" t="n">
        <v>11709.84</v>
      </c>
      <c r="E53" t="n">
        <v>13544</v>
      </c>
      <c r="F53" t="n">
        <v>16444</v>
      </c>
      <c r="G53" t="n">
        <v>21188</v>
      </c>
      <c r="H53" t="n">
        <v>27020</v>
      </c>
      <c r="I53" t="n">
        <v>31547</v>
      </c>
      <c r="J53" t="n">
        <v>40645</v>
      </c>
      <c r="K53" t="n">
        <v>60561</v>
      </c>
    </row>
    <row r="54">
      <c r="A54" s="60" t="inlineStr">
        <is>
          <t>Net Block</t>
        </is>
      </c>
      <c r="B54" t="n">
        <v>1188.72</v>
      </c>
      <c r="C54" t="n">
        <v>1473.81</v>
      </c>
      <c r="D54" t="n">
        <v>1566.63</v>
      </c>
      <c r="E54" t="n">
        <v>2633</v>
      </c>
      <c r="F54" t="n">
        <v>2523</v>
      </c>
      <c r="G54" t="n">
        <v>2544</v>
      </c>
      <c r="H54" t="n">
        <v>2998</v>
      </c>
      <c r="I54" t="n">
        <v>3709</v>
      </c>
      <c r="J54" t="n">
        <v>4062</v>
      </c>
      <c r="K54" t="n">
        <v>6878</v>
      </c>
    </row>
    <row r="55">
      <c r="A55" s="60" t="inlineStr">
        <is>
          <t>Capital Work in Progress</t>
        </is>
      </c>
      <c r="B55" t="n">
        <v>152.07</v>
      </c>
      <c r="C55" t="n">
        <v>43.37</v>
      </c>
      <c r="D55" t="n">
        <v>31.77</v>
      </c>
      <c r="E55" t="n">
        <v>18</v>
      </c>
      <c r="F55" t="n">
        <v>32</v>
      </c>
      <c r="G55" t="n">
        <v>85</v>
      </c>
      <c r="H55" t="n">
        <v>144</v>
      </c>
      <c r="I55" t="n">
        <v>97</v>
      </c>
      <c r="J55" t="n">
        <v>105</v>
      </c>
      <c r="K55" t="n">
        <v>163</v>
      </c>
    </row>
    <row r="56">
      <c r="A56" s="60" t="inlineStr">
        <is>
          <t>Investments</t>
        </is>
      </c>
      <c r="B56" t="n">
        <v>430.73</v>
      </c>
      <c r="C56" t="n">
        <v>35.99</v>
      </c>
      <c r="D56" t="n">
        <v>108.42</v>
      </c>
      <c r="E56" t="n">
        <v>158</v>
      </c>
      <c r="F56" t="n">
        <v>2824</v>
      </c>
      <c r="G56" t="n">
        <v>294</v>
      </c>
      <c r="H56" t="n">
        <v>2515</v>
      </c>
      <c r="I56" t="n">
        <v>2345</v>
      </c>
      <c r="J56" t="n">
        <v>1988</v>
      </c>
      <c r="K56" t="n">
        <v>3506</v>
      </c>
    </row>
    <row r="57">
      <c r="A57" s="60" t="inlineStr">
        <is>
          <t>Other Assets</t>
        </is>
      </c>
      <c r="B57" t="n">
        <v>6636.05</v>
      </c>
      <c r="C57" t="n">
        <v>7967.87</v>
      </c>
      <c r="D57" t="n">
        <v>10003.02</v>
      </c>
      <c r="E57" t="n">
        <v>10735</v>
      </c>
      <c r="F57" t="n">
        <v>11065</v>
      </c>
      <c r="G57" t="n">
        <v>18265</v>
      </c>
      <c r="H57" t="n">
        <v>21363</v>
      </c>
      <c r="I57" t="n">
        <v>25396</v>
      </c>
      <c r="J57" t="n">
        <v>34490</v>
      </c>
      <c r="K57" t="n">
        <v>50014</v>
      </c>
    </row>
    <row r="58" customFormat="1" s="75">
      <c r="A58" s="75" t="inlineStr">
        <is>
          <t>Total</t>
        </is>
      </c>
      <c r="B58" t="n">
        <v>8407.57</v>
      </c>
      <c r="C58" t="n">
        <v>9521.040000000001</v>
      </c>
      <c r="D58" t="n">
        <v>11709.84</v>
      </c>
      <c r="E58" t="n">
        <v>13544</v>
      </c>
      <c r="F58" t="n">
        <v>16444</v>
      </c>
      <c r="G58" t="n">
        <v>21188</v>
      </c>
      <c r="H58" t="n">
        <v>27020</v>
      </c>
      <c r="I58" t="n">
        <v>31547</v>
      </c>
      <c r="J58" t="n">
        <v>40645</v>
      </c>
      <c r="K58" t="n">
        <v>60561</v>
      </c>
    </row>
    <row r="59" customFormat="1" s="60">
      <c r="A59" s="60" t="inlineStr">
        <is>
          <t>Receivables</t>
        </is>
      </c>
      <c r="B59" t="n">
        <v>207.6</v>
      </c>
      <c r="C59" t="n">
        <v>295.69</v>
      </c>
      <c r="D59" t="n">
        <v>420.45</v>
      </c>
      <c r="E59" t="n">
        <v>312</v>
      </c>
      <c r="F59" t="n">
        <v>366</v>
      </c>
      <c r="G59" t="n">
        <v>565</v>
      </c>
      <c r="H59" t="n">
        <v>674</v>
      </c>
      <c r="I59" t="n">
        <v>1018</v>
      </c>
      <c r="J59" t="n">
        <v>1068</v>
      </c>
      <c r="K59" t="n">
        <v>916</v>
      </c>
    </row>
    <row r="60">
      <c r="A60" s="60" t="inlineStr">
        <is>
          <t>Inventory</t>
        </is>
      </c>
      <c r="B60" t="n">
        <v>4925.74</v>
      </c>
      <c r="C60" t="n">
        <v>5924.84</v>
      </c>
      <c r="D60" t="n">
        <v>7038.82</v>
      </c>
      <c r="E60" t="n">
        <v>8103</v>
      </c>
      <c r="F60" t="n">
        <v>8408</v>
      </c>
      <c r="G60" t="n">
        <v>13609</v>
      </c>
      <c r="H60" t="n">
        <v>16584</v>
      </c>
      <c r="I60" t="n">
        <v>19051</v>
      </c>
      <c r="J60" t="n">
        <v>28184</v>
      </c>
      <c r="K60" t="n">
        <v>42743</v>
      </c>
    </row>
    <row r="61">
      <c r="A61" s="73" t="inlineStr">
        <is>
          <t>Cash &amp; Bank</t>
        </is>
      </c>
      <c r="B61" t="n">
        <v>778.9299999999999</v>
      </c>
      <c r="C61" t="n">
        <v>617.91</v>
      </c>
      <c r="D61" t="n">
        <v>1066.48</v>
      </c>
      <c r="E61" t="n">
        <v>381</v>
      </c>
      <c r="F61" t="n">
        <v>560</v>
      </c>
      <c r="G61" t="n">
        <v>1573</v>
      </c>
      <c r="H61" t="n">
        <v>1343</v>
      </c>
      <c r="I61" t="n">
        <v>1526</v>
      </c>
      <c r="J61" t="n">
        <v>1584</v>
      </c>
      <c r="K61" t="n">
        <v>1917</v>
      </c>
    </row>
    <row r="62">
      <c r="A62" s="73" t="inlineStr">
        <is>
          <t>No. of Equity Shares</t>
        </is>
      </c>
      <c r="B62" t="n">
        <v>887786160</v>
      </c>
      <c r="C62" t="n">
        <v>887786160</v>
      </c>
      <c r="D62" t="n">
        <v>887786160</v>
      </c>
      <c r="E62" t="n">
        <v>887786160</v>
      </c>
      <c r="F62" t="n">
        <v>887786160</v>
      </c>
      <c r="G62" t="n">
        <v>887786160</v>
      </c>
      <c r="H62" t="n">
        <v>890000000</v>
      </c>
      <c r="I62" t="n">
        <v>890000000</v>
      </c>
      <c r="J62" t="n">
        <v>890000000</v>
      </c>
      <c r="K62" t="n">
        <v>890000000</v>
      </c>
    </row>
    <row r="63">
      <c r="A63" s="73" t="inlineStr">
        <is>
          <t>New Bonus Shares</t>
        </is>
      </c>
    </row>
    <row r="64" ht="15" customHeight="1" s="70">
      <c r="A64" s="73" t="inlineStr">
        <is>
          <t>Face value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</row>
    <row r="65">
      <c r="A65" s="60" t="n"/>
    </row>
    <row r="66">
      <c r="A66" s="75" t="inlineStr">
        <is>
          <t>CASH FLOW:</t>
        </is>
      </c>
    </row>
    <row r="67" customFormat="1" s="3">
      <c r="A67" s="4" t="inlineStr">
        <is>
          <t>Report Date</t>
        </is>
      </c>
      <c r="B67" s="55" t="n">
        <v>42825</v>
      </c>
      <c r="C67" s="55" t="n">
        <v>43190</v>
      </c>
      <c r="D67" s="55" t="n">
        <v>43555</v>
      </c>
      <c r="E67" s="55" t="n">
        <v>43921</v>
      </c>
      <c r="F67" s="55" t="n">
        <v>44286</v>
      </c>
      <c r="G67" s="55" t="n">
        <v>44651</v>
      </c>
      <c r="H67" s="55" t="n">
        <v>45016</v>
      </c>
      <c r="I67" s="55" t="n">
        <v>45382</v>
      </c>
      <c r="J67" s="55" t="n">
        <v>45747</v>
      </c>
      <c r="K67" s="55" t="n">
        <v>46112</v>
      </c>
    </row>
    <row r="68" customFormat="1" s="75">
      <c r="A68" s="60" t="inlineStr">
        <is>
          <t>Cash from Operating Activity</t>
        </is>
      </c>
      <c r="B68" t="n">
        <v>1712.3</v>
      </c>
      <c r="C68" t="n">
        <v>-51.12</v>
      </c>
      <c r="D68" t="n">
        <v>1242.92</v>
      </c>
      <c r="E68" t="n">
        <v>-348</v>
      </c>
      <c r="F68" t="n">
        <v>4139</v>
      </c>
      <c r="G68" t="n">
        <v>-724</v>
      </c>
      <c r="H68" t="n">
        <v>1370</v>
      </c>
      <c r="I68" t="n">
        <v>1695</v>
      </c>
      <c r="J68" t="n">
        <v>-541</v>
      </c>
      <c r="K68" t="n">
        <v>5590</v>
      </c>
    </row>
    <row r="69" customFormat="1" s="60">
      <c r="A69" s="60" t="inlineStr">
        <is>
          <t>Cash from Investing Activity</t>
        </is>
      </c>
      <c r="B69" t="n">
        <v>-953.15</v>
      </c>
      <c r="C69" t="n">
        <v>97.62</v>
      </c>
      <c r="D69" t="n">
        <v>-796.61</v>
      </c>
      <c r="E69" t="n">
        <v>235</v>
      </c>
      <c r="F69" t="n">
        <v>-2799</v>
      </c>
      <c r="G69" t="n">
        <v>1165</v>
      </c>
      <c r="H69" t="n">
        <v>-1814</v>
      </c>
      <c r="I69" t="n">
        <v>-189</v>
      </c>
      <c r="J69" t="n">
        <v>546</v>
      </c>
      <c r="K69" t="n">
        <v>-2965</v>
      </c>
    </row>
    <row r="70" customFormat="1" s="60">
      <c r="A70" s="60" t="inlineStr">
        <is>
          <t>Cash from Financing Activity</t>
        </is>
      </c>
      <c r="B70" t="n">
        <v>-165.6</v>
      </c>
      <c r="C70" t="n">
        <v>-252.45</v>
      </c>
      <c r="D70" t="n">
        <v>-488.83</v>
      </c>
      <c r="E70" t="n">
        <v>-242</v>
      </c>
      <c r="F70" t="n">
        <v>-1234</v>
      </c>
      <c r="G70" t="n">
        <v>-403</v>
      </c>
      <c r="H70" t="n">
        <v>457</v>
      </c>
      <c r="I70" t="n">
        <v>-1329</v>
      </c>
      <c r="J70" t="n">
        <v>-7</v>
      </c>
      <c r="K70" t="n">
        <v>-2159</v>
      </c>
    </row>
    <row r="71" customFormat="1" s="75">
      <c r="A71" s="60" t="inlineStr">
        <is>
          <t>Net Cash Flow</t>
        </is>
      </c>
      <c r="B71" t="n">
        <v>593.55</v>
      </c>
      <c r="C71" t="n">
        <v>-205.95</v>
      </c>
      <c r="D71" t="n">
        <v>-42.52</v>
      </c>
      <c r="E71" t="n">
        <v>-355</v>
      </c>
      <c r="F71" t="n">
        <v>106</v>
      </c>
      <c r="G71" t="n">
        <v>38</v>
      </c>
      <c r="H71" t="n">
        <v>13</v>
      </c>
      <c r="I71" t="n">
        <v>177</v>
      </c>
      <c r="J71" t="n">
        <v>-2</v>
      </c>
      <c r="K71" t="n">
        <v>466</v>
      </c>
    </row>
    <row r="72">
      <c r="A72" s="60" t="n"/>
    </row>
    <row r="73">
      <c r="A73" s="60" t="n"/>
    </row>
    <row r="74" customFormat="1" s="75">
      <c r="A74" s="75" t="inlineStr">
        <is>
          <t>PRICE:</t>
        </is>
      </c>
      <c r="B74" t="n">
        <v>462.75</v>
      </c>
      <c r="C74" t="n">
        <v>942.3</v>
      </c>
      <c r="D74" t="n">
        <v>1141.85</v>
      </c>
      <c r="E74" t="n">
        <v>933.7</v>
      </c>
      <c r="F74" t="n">
        <v>1558.05</v>
      </c>
      <c r="G74" t="n">
        <v>2536.15</v>
      </c>
      <c r="H74" t="n">
        <v>2514.9</v>
      </c>
      <c r="I74" t="n">
        <v>3801.8</v>
      </c>
      <c r="J74" t="n">
        <v>3063.35</v>
      </c>
      <c r="K74" t="n">
        <v>3951.4</v>
      </c>
    </row>
    <row r="76" customFormat="1" s="75">
      <c r="A76" s="75" t="inlineStr">
        <is>
          <t>DERIVED:</t>
        </is>
      </c>
    </row>
    <row r="77">
      <c r="A77" s="73" t="inlineStr">
        <is>
          <t>Adjusted Equity Shares in Cr</t>
        </is>
      </c>
      <c r="B77" s="1" t="n">
        <v>88.78</v>
      </c>
      <c r="C77" s="1" t="n">
        <v>88.78</v>
      </c>
      <c r="D77" s="1" t="n">
        <v>88.78</v>
      </c>
      <c r="E77" s="1" t="n">
        <v>88.78</v>
      </c>
      <c r="F77" s="1" t="n">
        <v>88.78</v>
      </c>
      <c r="G77" s="1" t="n">
        <v>88.78</v>
      </c>
      <c r="H77" s="1" t="n">
        <v>88.78</v>
      </c>
      <c r="I77" s="1" t="n">
        <v>88.78</v>
      </c>
      <c r="J77" s="1" t="n">
        <v>88.78</v>
      </c>
      <c r="K77" s="1" t="n">
        <v>88.78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J15" sqref="J15"/>
    </sheetView>
  </sheetViews>
  <sheetFormatPr baseColWidth="8" defaultRowHeight="14.4"/>
  <cols>
    <col width="18.21875" bestFit="1" customWidth="1" style="70" min="1" max="1"/>
    <col width="11.5546875" bestFit="1" customWidth="1" style="70" min="2" max="2"/>
    <col width="10" bestFit="1" customWidth="1" style="70" min="3" max="11"/>
  </cols>
  <sheetData>
    <row r="1">
      <c r="A1" s="4" t="inlineStr">
        <is>
          <t>metric_name</t>
        </is>
      </c>
      <c r="B1" s="55" t="n">
        <v>42825</v>
      </c>
      <c r="C1" s="55" t="n">
        <v>43190</v>
      </c>
      <c r="D1" s="55" t="n">
        <v>43555</v>
      </c>
      <c r="E1" s="55" t="n">
        <v>43921</v>
      </c>
      <c r="F1" s="55" t="n">
        <v>44286</v>
      </c>
      <c r="G1" s="55" t="n">
        <v>44651</v>
      </c>
      <c r="H1" s="55" t="n">
        <v>45016</v>
      </c>
      <c r="I1" s="55" t="n">
        <v>45382</v>
      </c>
      <c r="J1" s="55" t="n">
        <v>45747</v>
      </c>
      <c r="K1" s="55" t="n">
        <v>46112</v>
      </c>
    </row>
    <row r="2">
      <c r="A2" s="60" t="inlineStr">
        <is>
          <t>Sales</t>
        </is>
      </c>
      <c r="B2" t="n">
        <v>13260.83</v>
      </c>
      <c r="C2" t="n">
        <v>16119.77</v>
      </c>
      <c r="D2" t="n">
        <v>19778.52</v>
      </c>
      <c r="E2" t="n">
        <v>21052</v>
      </c>
      <c r="F2" t="n">
        <v>21644</v>
      </c>
      <c r="G2" t="n">
        <v>28799</v>
      </c>
      <c r="H2" t="n">
        <v>40575</v>
      </c>
      <c r="I2" t="n">
        <v>51084</v>
      </c>
      <c r="J2" t="n">
        <v>60456</v>
      </c>
      <c r="K2" t="n">
        <v>87584</v>
      </c>
    </row>
    <row r="3">
      <c r="A3" s="73" t="inlineStr">
        <is>
          <t>raw_material_cost</t>
        </is>
      </c>
      <c r="B3" t="n">
        <v>9821.139999999999</v>
      </c>
      <c r="C3" t="n">
        <v>12664.83</v>
      </c>
      <c r="D3" t="n">
        <v>15170.66</v>
      </c>
      <c r="E3" t="n">
        <v>16033</v>
      </c>
      <c r="F3" t="n">
        <v>16292</v>
      </c>
      <c r="G3" t="n">
        <v>26436</v>
      </c>
      <c r="H3" t="n">
        <v>32589</v>
      </c>
      <c r="I3" t="n">
        <v>42103</v>
      </c>
      <c r="J3" t="n">
        <v>55271</v>
      </c>
      <c r="K3" t="n">
        <v>80243</v>
      </c>
    </row>
    <row r="4">
      <c r="A4" s="73" t="inlineStr">
        <is>
          <t>change_in_inventory</t>
        </is>
      </c>
      <c r="B4" t="n">
        <v>313.71</v>
      </c>
      <c r="C4" t="n">
        <v>978.61</v>
      </c>
      <c r="D4" t="n">
        <v>776.41</v>
      </c>
      <c r="E4" t="n">
        <v>878</v>
      </c>
      <c r="F4" t="n">
        <v>-122</v>
      </c>
      <c r="G4" t="n">
        <v>4795</v>
      </c>
      <c r="H4" t="n">
        <v>2234</v>
      </c>
      <c r="I4" t="n">
        <v>2671</v>
      </c>
      <c r="J4" t="n">
        <v>7815</v>
      </c>
      <c r="K4" t="n">
        <v>9936</v>
      </c>
    </row>
    <row r="5">
      <c r="A5" s="73" t="inlineStr">
        <is>
          <t>power_fuel</t>
        </is>
      </c>
      <c r="B5" t="n">
        <v>43.84</v>
      </c>
      <c r="C5" t="n">
        <v>45.32</v>
      </c>
      <c r="D5" t="n">
        <v>48.51</v>
      </c>
      <c r="E5" t="n">
        <v>52</v>
      </c>
      <c r="F5" t="n">
        <v>37</v>
      </c>
      <c r="G5" t="n">
        <v>45</v>
      </c>
      <c r="H5" t="n">
        <v>59</v>
      </c>
      <c r="I5" t="n">
        <v>71</v>
      </c>
      <c r="J5" t="n">
        <v>78</v>
      </c>
      <c r="K5" t="n">
        <v>87</v>
      </c>
    </row>
    <row r="6">
      <c r="A6" s="73" t="inlineStr">
        <is>
          <t>other_mfr_exp</t>
        </is>
      </c>
      <c r="B6" t="n">
        <v>160.42</v>
      </c>
      <c r="C6" t="n">
        <v>124.83</v>
      </c>
      <c r="D6" t="n">
        <v>193.28</v>
      </c>
      <c r="E6" t="n">
        <v>215</v>
      </c>
      <c r="F6" t="n">
        <v>141</v>
      </c>
      <c r="G6" t="n">
        <v>183</v>
      </c>
      <c r="H6" t="n">
        <v>225</v>
      </c>
      <c r="I6" t="n">
        <v>286</v>
      </c>
      <c r="J6" t="n">
        <v>326</v>
      </c>
      <c r="K6" t="n">
        <v>375</v>
      </c>
    </row>
    <row r="7">
      <c r="A7" s="73" t="inlineStr">
        <is>
          <t>employee_cost</t>
        </is>
      </c>
      <c r="B7" t="n">
        <v>894.3200000000001</v>
      </c>
      <c r="C7" t="n">
        <v>906.26</v>
      </c>
      <c r="D7" t="n">
        <v>1024.44</v>
      </c>
      <c r="E7" t="n">
        <v>1204</v>
      </c>
      <c r="F7" t="n">
        <v>1069</v>
      </c>
      <c r="G7" t="n">
        <v>1356</v>
      </c>
      <c r="H7" t="n">
        <v>1656</v>
      </c>
      <c r="I7" t="n">
        <v>1875</v>
      </c>
      <c r="J7" t="n">
        <v>2164</v>
      </c>
      <c r="K7" t="n">
        <v>2692</v>
      </c>
    </row>
    <row r="8">
      <c r="A8" s="73" t="inlineStr">
        <is>
          <t>selling_admin</t>
        </is>
      </c>
      <c r="B8" t="n">
        <v>1211.16</v>
      </c>
      <c r="C8" t="n">
        <v>1277.81</v>
      </c>
      <c r="D8" t="n">
        <v>1454.32</v>
      </c>
      <c r="E8" t="n">
        <v>1470</v>
      </c>
      <c r="F8" t="n">
        <v>1029</v>
      </c>
      <c r="G8" t="n">
        <v>1697</v>
      </c>
      <c r="H8" t="n">
        <v>2715</v>
      </c>
      <c r="I8" t="n">
        <v>3249</v>
      </c>
      <c r="J8" t="n">
        <v>3494</v>
      </c>
      <c r="K8" t="n">
        <v>4185</v>
      </c>
    </row>
    <row r="9">
      <c r="A9" s="73" t="inlineStr">
        <is>
          <t>other_expenses</t>
        </is>
      </c>
      <c r="B9" t="n">
        <v>279.76</v>
      </c>
      <c r="C9" t="n">
        <v>435.13</v>
      </c>
      <c r="D9" t="n">
        <v>669.9299999999999</v>
      </c>
      <c r="E9" t="n">
        <v>493</v>
      </c>
      <c r="F9" t="n">
        <v>1229</v>
      </c>
      <c r="G9" t="n">
        <v>533</v>
      </c>
      <c r="H9" t="n">
        <v>683</v>
      </c>
      <c r="I9" t="n">
        <v>879</v>
      </c>
      <c r="J9" t="n">
        <v>1244</v>
      </c>
      <c r="K9" t="n">
        <v>1581</v>
      </c>
    </row>
    <row r="10">
      <c r="A10" s="60" t="inlineStr">
        <is>
          <t>other_income</t>
        </is>
      </c>
      <c r="B10" t="n">
        <v>-42.38</v>
      </c>
      <c r="C10" t="n">
        <v>69.93000000000001</v>
      </c>
      <c r="D10" t="n">
        <v>178.48</v>
      </c>
      <c r="E10" t="n">
        <v>153</v>
      </c>
      <c r="F10" t="n">
        <v>180</v>
      </c>
      <c r="G10" t="n">
        <v>177</v>
      </c>
      <c r="H10" t="n">
        <v>306</v>
      </c>
      <c r="I10" t="n">
        <v>534</v>
      </c>
      <c r="J10" t="n">
        <v>487</v>
      </c>
      <c r="K10" t="n">
        <v>450</v>
      </c>
    </row>
    <row r="11">
      <c r="A11" s="60" t="inlineStr">
        <is>
          <t>Depreciation</t>
        </is>
      </c>
      <c r="B11" t="n">
        <v>110.53</v>
      </c>
      <c r="C11" t="n">
        <v>131.43</v>
      </c>
      <c r="D11" t="n">
        <v>162.84</v>
      </c>
      <c r="E11" t="n">
        <v>348</v>
      </c>
      <c r="F11" t="n">
        <v>375</v>
      </c>
      <c r="G11" t="n">
        <v>399</v>
      </c>
      <c r="H11" t="n">
        <v>441</v>
      </c>
      <c r="I11" t="n">
        <v>584</v>
      </c>
      <c r="J11" t="n">
        <v>693</v>
      </c>
      <c r="K11" t="n">
        <v>826</v>
      </c>
    </row>
    <row r="12">
      <c r="A12" s="60" t="inlineStr">
        <is>
          <t>Interest</t>
        </is>
      </c>
      <c r="B12" t="n">
        <v>37.74</v>
      </c>
      <c r="C12" t="n">
        <v>52.92</v>
      </c>
      <c r="D12" t="n">
        <v>52.54</v>
      </c>
      <c r="E12" t="n">
        <v>166</v>
      </c>
      <c r="F12" t="n">
        <v>203</v>
      </c>
      <c r="G12" t="n">
        <v>218</v>
      </c>
      <c r="H12" t="n">
        <v>300</v>
      </c>
      <c r="I12" t="n">
        <v>619</v>
      </c>
      <c r="J12" t="n">
        <v>953</v>
      </c>
      <c r="K12" t="n">
        <v>1180</v>
      </c>
    </row>
    <row r="13">
      <c r="A13" s="60" t="inlineStr">
        <is>
          <t>pbt</t>
        </is>
      </c>
      <c r="B13" t="n">
        <v>973.25</v>
      </c>
      <c r="C13" t="n">
        <v>1529.78</v>
      </c>
      <c r="D13" t="n">
        <v>1956.89</v>
      </c>
      <c r="E13" t="n">
        <v>2102</v>
      </c>
      <c r="F13" t="n">
        <v>1327</v>
      </c>
      <c r="G13" t="n">
        <v>2904</v>
      </c>
      <c r="H13" t="n">
        <v>4447</v>
      </c>
      <c r="I13" t="n">
        <v>4623</v>
      </c>
      <c r="J13" t="n">
        <v>4535</v>
      </c>
      <c r="K13" t="n">
        <v>6801</v>
      </c>
    </row>
    <row r="14">
      <c r="A14" s="60" t="inlineStr">
        <is>
          <t>Tax</t>
        </is>
      </c>
      <c r="B14" t="n">
        <v>275.97</v>
      </c>
      <c r="C14" t="n">
        <v>427.87</v>
      </c>
      <c r="D14" t="n">
        <v>568.24</v>
      </c>
      <c r="E14" t="n">
        <v>609</v>
      </c>
      <c r="F14" t="n">
        <v>353</v>
      </c>
      <c r="G14" t="n">
        <v>706</v>
      </c>
      <c r="H14" t="n">
        <v>1173</v>
      </c>
      <c r="I14" t="n">
        <v>1127</v>
      </c>
      <c r="J14" t="n">
        <v>1198</v>
      </c>
      <c r="K14" t="n">
        <v>1728</v>
      </c>
    </row>
    <row r="15">
      <c r="A15" s="60" t="inlineStr">
        <is>
          <t>net_profit</t>
        </is>
      </c>
      <c r="B15" t="n">
        <v>711.47</v>
      </c>
      <c r="C15" t="n">
        <v>1130.09</v>
      </c>
      <c r="D15" t="n">
        <v>1404.15</v>
      </c>
      <c r="E15" t="n">
        <v>1501</v>
      </c>
      <c r="F15" t="n">
        <v>973</v>
      </c>
      <c r="G15" t="n">
        <v>2173</v>
      </c>
      <c r="H15" t="n">
        <v>3250</v>
      </c>
      <c r="I15" t="n">
        <v>3496</v>
      </c>
      <c r="J15" t="n">
        <v>3337</v>
      </c>
      <c r="K15" t="n">
        <v>5073</v>
      </c>
    </row>
    <row r="16">
      <c r="A16" s="60" t="inlineStr">
        <is>
          <t>dividend_amount</t>
        </is>
      </c>
      <c r="B16" t="n">
        <v>230.83</v>
      </c>
      <c r="C16" t="n">
        <v>332.92</v>
      </c>
      <c r="D16" t="n">
        <v>443.9</v>
      </c>
      <c r="E16" t="n">
        <v>356</v>
      </c>
      <c r="F16" t="n">
        <v>356</v>
      </c>
      <c r="G16" t="n">
        <v>667.5</v>
      </c>
      <c r="H16" t="n">
        <v>890</v>
      </c>
      <c r="I16" t="n">
        <v>979</v>
      </c>
      <c r="J16" t="n">
        <v>979</v>
      </c>
      <c r="K16" t="n">
        <v>1335</v>
      </c>
    </row>
    <row r="17" customFormat="1" s="73">
      <c r="A17" s="60" t="inlineStr">
        <is>
          <t>equity_share_cap</t>
        </is>
      </c>
      <c r="B17" t="n">
        <v>88.78</v>
      </c>
      <c r="C17" t="n">
        <v>88.78</v>
      </c>
      <c r="D17" t="n">
        <v>88.78</v>
      </c>
      <c r="E17" t="n">
        <v>89</v>
      </c>
      <c r="F17" t="n">
        <v>89</v>
      </c>
      <c r="G17" t="n">
        <v>89</v>
      </c>
      <c r="H17" t="n">
        <v>89</v>
      </c>
      <c r="I17" t="n">
        <v>89</v>
      </c>
      <c r="J17" t="n">
        <v>89</v>
      </c>
      <c r="K17" t="n">
        <v>89</v>
      </c>
    </row>
    <row r="18" customFormat="1" s="75">
      <c r="A18" s="60" t="inlineStr">
        <is>
          <t>total_debt</t>
        </is>
      </c>
      <c r="B18" t="n">
        <v>8407.57</v>
      </c>
      <c r="C18" t="n">
        <v>9521.040000000001</v>
      </c>
      <c r="D18" t="n">
        <v>11709.84</v>
      </c>
      <c r="E18" t="n">
        <v>13544</v>
      </c>
      <c r="F18" t="n">
        <v>16444</v>
      </c>
      <c r="G18" t="n">
        <v>21188</v>
      </c>
      <c r="H18" t="n">
        <v>27020</v>
      </c>
      <c r="I18" t="n">
        <v>31547</v>
      </c>
      <c r="J18" t="n">
        <v>40645</v>
      </c>
      <c r="K18" t="n">
        <v>60561</v>
      </c>
      <c r="M18" s="60" t="n"/>
      <c r="N18" s="73" t="n"/>
    </row>
    <row r="19" customFormat="1" s="75">
      <c r="A19" s="73" t="inlineStr">
        <is>
          <t>total_assets</t>
        </is>
      </c>
      <c r="B19" t="n">
        <v>8407.57</v>
      </c>
      <c r="C19" t="n">
        <v>9521.040000000001</v>
      </c>
      <c r="D19" t="n">
        <v>11709.84</v>
      </c>
      <c r="E19" t="n">
        <v>13544</v>
      </c>
      <c r="F19" t="n">
        <v>16444</v>
      </c>
      <c r="G19" t="n">
        <v>21188</v>
      </c>
      <c r="H19" t="n">
        <v>27020</v>
      </c>
      <c r="I19" t="n">
        <v>31547</v>
      </c>
      <c r="J19" t="n">
        <v>40645</v>
      </c>
      <c r="K19" t="n">
        <v>60561</v>
      </c>
      <c r="M19" s="73" t="n"/>
      <c r="N19" s="60" t="n"/>
    </row>
    <row r="20" customFormat="1" s="73">
      <c r="A20" s="60" t="inlineStr">
        <is>
          <t>Reserves</t>
        </is>
      </c>
      <c r="B20" t="n">
        <v>4143.6</v>
      </c>
      <c r="C20" t="n">
        <v>5001.1</v>
      </c>
      <c r="D20" t="n">
        <v>5981.37</v>
      </c>
      <c r="E20" t="n">
        <v>6580</v>
      </c>
      <c r="F20" t="n">
        <v>7408</v>
      </c>
      <c r="G20" t="n">
        <v>9214</v>
      </c>
      <c r="H20" t="n">
        <v>11762</v>
      </c>
      <c r="I20" t="n">
        <v>9304</v>
      </c>
      <c r="J20" t="n">
        <v>11535</v>
      </c>
      <c r="K20" t="n">
        <v>15614</v>
      </c>
      <c r="M20" s="60" t="n"/>
    </row>
    <row r="21" customFormat="1" s="73">
      <c r="A21" s="73" t="inlineStr">
        <is>
          <t>debt</t>
        </is>
      </c>
      <c r="B21" t="n">
        <v>1882.43</v>
      </c>
      <c r="C21" t="n">
        <v>1691.01</v>
      </c>
      <c r="D21" t="n">
        <v>2392.98</v>
      </c>
      <c r="E21" t="n">
        <v>3562</v>
      </c>
      <c r="F21" t="n">
        <v>5638</v>
      </c>
      <c r="G21" t="n">
        <v>7275</v>
      </c>
      <c r="H21" t="n">
        <v>9367</v>
      </c>
      <c r="I21" t="n">
        <v>15528</v>
      </c>
      <c r="J21" t="n">
        <v>20777</v>
      </c>
      <c r="K21" t="n">
        <v>30621</v>
      </c>
    </row>
    <row r="22" customFormat="1" s="73">
      <c r="A22" s="73" t="inlineStr">
        <is>
          <t>fixed_assets</t>
        </is>
      </c>
      <c r="B22" t="n">
        <v>1188.72</v>
      </c>
      <c r="C22" t="n">
        <v>1473.81</v>
      </c>
      <c r="D22" t="n">
        <v>1566.63</v>
      </c>
      <c r="E22" t="n">
        <v>2633</v>
      </c>
      <c r="F22" t="n">
        <v>2523</v>
      </c>
      <c r="G22" t="n">
        <v>2544</v>
      </c>
      <c r="H22" t="n">
        <v>2998</v>
      </c>
      <c r="I22" t="n">
        <v>3709</v>
      </c>
      <c r="J22" t="n">
        <v>4062</v>
      </c>
      <c r="K22" t="n">
        <v>6878</v>
      </c>
    </row>
    <row r="23" customFormat="1" s="60">
      <c r="A23" s="73" t="inlineStr">
        <is>
          <t>debtors</t>
        </is>
      </c>
      <c r="B23" t="n">
        <v>207.6</v>
      </c>
      <c r="C23" t="n">
        <v>295.69</v>
      </c>
      <c r="D23" t="n">
        <v>420.45</v>
      </c>
      <c r="E23" t="n">
        <v>312</v>
      </c>
      <c r="F23" t="n">
        <v>366</v>
      </c>
      <c r="G23" t="n">
        <v>565</v>
      </c>
      <c r="H23" t="n">
        <v>674</v>
      </c>
      <c r="I23" t="n">
        <v>1018</v>
      </c>
      <c r="J23" t="n">
        <v>1068</v>
      </c>
      <c r="K23" t="n">
        <v>916</v>
      </c>
      <c r="M23" s="73" t="n"/>
    </row>
    <row r="24" customFormat="1" s="73">
      <c r="A24" s="73" t="inlineStr">
        <is>
          <t>inventory</t>
        </is>
      </c>
      <c r="B24" t="n">
        <v>4925.74</v>
      </c>
      <c r="C24" t="n">
        <v>5924.84</v>
      </c>
      <c r="D24" t="n">
        <v>7038.82</v>
      </c>
      <c r="E24" t="n">
        <v>8103</v>
      </c>
      <c r="F24" t="n">
        <v>8408</v>
      </c>
      <c r="G24" t="n">
        <v>13609</v>
      </c>
      <c r="H24" t="n">
        <v>16584</v>
      </c>
      <c r="I24" t="n">
        <v>19051</v>
      </c>
      <c r="J24" t="n">
        <v>28184</v>
      </c>
      <c r="K24" t="n">
        <v>42743</v>
      </c>
      <c r="N24" s="60" t="n"/>
    </row>
    <row r="25">
      <c r="A25" s="60" t="inlineStr">
        <is>
          <t>cash_operating</t>
        </is>
      </c>
      <c r="B25" t="n">
        <v>1712.3</v>
      </c>
      <c r="C25" t="n">
        <v>-51.12</v>
      </c>
      <c r="D25" t="n">
        <v>1242.92</v>
      </c>
      <c r="E25" t="n">
        <v>-348</v>
      </c>
      <c r="F25" t="n">
        <v>4139</v>
      </c>
      <c r="G25" t="n">
        <v>-724</v>
      </c>
      <c r="H25" t="n">
        <v>1370</v>
      </c>
      <c r="I25" t="n">
        <v>1695</v>
      </c>
      <c r="J25" t="n">
        <v>-541</v>
      </c>
      <c r="K25" t="n">
        <v>5590</v>
      </c>
      <c r="M25" s="60" t="n"/>
    </row>
    <row r="26">
      <c r="A26" s="60" t="inlineStr">
        <is>
          <t>payables</t>
        </is>
      </c>
      <c r="B26" t="n">
        <v>2292.76</v>
      </c>
      <c r="C26" t="n">
        <v>2740.15</v>
      </c>
      <c r="D26" t="n">
        <v>3246.71</v>
      </c>
      <c r="E26" t="n">
        <v>3313</v>
      </c>
      <c r="F26" t="n">
        <v>3309</v>
      </c>
      <c r="G26" t="n">
        <v>4610</v>
      </c>
      <c r="H26" t="n">
        <v>5802</v>
      </c>
      <c r="I26" t="n">
        <v>6626</v>
      </c>
      <c r="J26" t="n">
        <v>8244</v>
      </c>
      <c r="K26" t="n">
        <v>14237</v>
      </c>
      <c r="M26" s="60" t="n"/>
    </row>
    <row r="27">
      <c r="A27" s="73" t="inlineStr">
        <is>
          <t>equity_shares</t>
        </is>
      </c>
      <c r="B27" t="n">
        <v>887786160</v>
      </c>
      <c r="C27" t="n">
        <v>887786160</v>
      </c>
      <c r="D27" t="n">
        <v>887786160</v>
      </c>
      <c r="E27" t="n">
        <v>887786160</v>
      </c>
      <c r="F27" t="n">
        <v>887786160</v>
      </c>
      <c r="G27" t="n">
        <v>887786160</v>
      </c>
      <c r="H27" t="n">
        <v>890000000</v>
      </c>
      <c r="I27" t="n">
        <v>890000000</v>
      </c>
      <c r="J27" t="n">
        <v>890000000</v>
      </c>
      <c r="K27" t="n">
        <v>890000000</v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N34"/>
  <sheetViews>
    <sheetView zoomScale="70" zoomScaleNormal="70" workbookViewId="0">
      <selection activeCell="Q21" sqref="Q21"/>
    </sheetView>
  </sheetViews>
  <sheetFormatPr baseColWidth="8" defaultRowHeight="14.4"/>
  <cols>
    <col width="31.33203125" bestFit="1" customWidth="1" style="70" min="2" max="2"/>
    <col width="8.5546875" bestFit="1" customWidth="1" style="70" min="3" max="14"/>
  </cols>
  <sheetData>
    <row r="2">
      <c r="B2" s="19" t="n">
        <v>40969</v>
      </c>
      <c r="C2" s="19" t="n">
        <v>41334</v>
      </c>
      <c r="D2" s="19" t="n">
        <v>41699</v>
      </c>
      <c r="E2" s="19" t="n">
        <v>42064</v>
      </c>
      <c r="F2" s="19" t="n">
        <v>42430</v>
      </c>
      <c r="G2" s="19" t="n">
        <v>42795</v>
      </c>
      <c r="H2" s="19" t="n">
        <v>43160</v>
      </c>
      <c r="I2" s="19" t="n">
        <v>43525</v>
      </c>
      <c r="J2" s="19" t="n">
        <v>43891</v>
      </c>
      <c r="K2" s="19" t="n">
        <v>44256</v>
      </c>
      <c r="L2" s="19" t="n">
        <v>44621</v>
      </c>
      <c r="M2" s="19" t="n">
        <v>44986</v>
      </c>
      <c r="N2" s="18" t="n"/>
    </row>
    <row r="3">
      <c r="B3" s="56" t="inlineStr">
        <is>
          <t>Cash from Operating Activity -</t>
        </is>
      </c>
      <c r="C3" s="57" t="n">
        <v>18384</v>
      </c>
      <c r="D3" s="57" t="n">
        <v>22163</v>
      </c>
      <c r="E3" s="57" t="n">
        <v>36151</v>
      </c>
      <c r="F3" s="57" t="n">
        <v>35531</v>
      </c>
      <c r="G3" s="57" t="n">
        <v>37900</v>
      </c>
      <c r="H3" s="57" t="n">
        <v>30199</v>
      </c>
      <c r="I3" s="57" t="n">
        <v>23857</v>
      </c>
      <c r="J3" s="57" t="n">
        <v>18891</v>
      </c>
      <c r="K3" s="57" t="n">
        <v>26633</v>
      </c>
      <c r="L3" s="57" t="n">
        <v>29001</v>
      </c>
      <c r="M3" s="57" t="n">
        <v>14283</v>
      </c>
      <c r="N3" s="57" t="n">
        <v>35388</v>
      </c>
    </row>
    <row r="4">
      <c r="B4" s="56" t="inlineStr">
        <is>
          <t>Profit from operations</t>
        </is>
      </c>
      <c r="C4" s="57" t="n">
        <v>22432</v>
      </c>
      <c r="D4" s="57" t="n">
        <v>24406</v>
      </c>
      <c r="E4" s="57" t="n">
        <v>36303</v>
      </c>
      <c r="F4" s="57" t="n">
        <v>43397</v>
      </c>
      <c r="G4" s="57" t="n">
        <v>38626</v>
      </c>
      <c r="H4" s="57" t="n">
        <v>28840</v>
      </c>
      <c r="I4" s="57" t="n">
        <v>33312</v>
      </c>
      <c r="J4" s="57" t="n">
        <v>28771</v>
      </c>
      <c r="K4" s="57" t="n">
        <v>23352</v>
      </c>
      <c r="L4" s="57" t="n">
        <v>31198</v>
      </c>
      <c r="M4" s="57" t="n">
        <v>26943</v>
      </c>
      <c r="N4" s="57" t="n">
        <v>41694</v>
      </c>
    </row>
    <row r="5">
      <c r="B5" s="56" t="inlineStr">
        <is>
          <t>Receivables</t>
        </is>
      </c>
      <c r="C5" s="57" t="n">
        <v>-6659</v>
      </c>
      <c r="D5" s="57" t="n">
        <v>-5177</v>
      </c>
      <c r="E5" s="58" t="n">
        <v>445</v>
      </c>
      <c r="F5" s="57" t="n">
        <v>-3179</v>
      </c>
      <c r="G5" s="57" t="n">
        <v>-2223</v>
      </c>
      <c r="H5" s="57" t="n">
        <v>-4152</v>
      </c>
      <c r="I5" s="57" t="n">
        <v>-10688</v>
      </c>
      <c r="J5" s="57" t="n">
        <v>-9109</v>
      </c>
      <c r="K5" s="57" t="n">
        <v>9950</v>
      </c>
      <c r="L5" s="57" t="n">
        <v>-5505</v>
      </c>
      <c r="M5" s="58" t="n">
        <v>185</v>
      </c>
      <c r="N5" s="57" t="n">
        <v>-2213</v>
      </c>
    </row>
    <row r="6">
      <c r="B6" s="56" t="inlineStr">
        <is>
          <t>Inventory</t>
        </is>
      </c>
      <c r="C6" s="57" t="n">
        <v>-2719</v>
      </c>
      <c r="D6" s="57" t="n">
        <v>-2656</v>
      </c>
      <c r="E6" s="57" t="n">
        <v>-2853</v>
      </c>
      <c r="F6" s="57" t="n">
        <v>-3692</v>
      </c>
      <c r="G6" s="57" t="n">
        <v>-5743</v>
      </c>
      <c r="H6" s="57" t="n">
        <v>-6621</v>
      </c>
      <c r="I6" s="57" t="n">
        <v>-3560</v>
      </c>
      <c r="J6" s="57" t="n">
        <v>2069</v>
      </c>
      <c r="K6" s="57" t="n">
        <v>2326</v>
      </c>
      <c r="L6" s="57" t="n">
        <v>3814</v>
      </c>
      <c r="M6" s="58" t="n">
        <v>472</v>
      </c>
      <c r="N6" s="57" t="n">
        <v>-5665</v>
      </c>
    </row>
    <row r="7">
      <c r="B7" s="56" t="inlineStr">
        <is>
          <t>Payables</t>
        </is>
      </c>
      <c r="C7" s="57" t="n">
        <v>5867</v>
      </c>
      <c r="D7" s="57" t="n">
        <v>8132</v>
      </c>
      <c r="E7" s="57" t="n">
        <v>4694</v>
      </c>
      <c r="F7" s="57" t="n">
        <v>3598</v>
      </c>
      <c r="G7" s="57" t="n">
        <v>3947</v>
      </c>
      <c r="H7" s="57" t="n">
        <v>9301</v>
      </c>
      <c r="I7" s="57" t="n">
        <v>7320</v>
      </c>
      <c r="J7" s="57" t="n">
        <v>-4692</v>
      </c>
      <c r="K7" s="57" t="n">
        <v>-8085</v>
      </c>
      <c r="L7" s="57" t="n">
        <v>5748</v>
      </c>
      <c r="M7" s="57" t="n">
        <v>-7012</v>
      </c>
      <c r="N7" s="57" t="n">
        <v>6945</v>
      </c>
    </row>
    <row r="8">
      <c r="B8" s="56" t="inlineStr">
        <is>
          <t>Loans Advances</t>
        </is>
      </c>
      <c r="C8" s="58" t="n">
        <v>0</v>
      </c>
      <c r="D8" s="58" t="n">
        <v>0</v>
      </c>
      <c r="E8" s="58" t="n">
        <v>0</v>
      </c>
      <c r="F8" s="58" t="n">
        <v>0</v>
      </c>
      <c r="G8" s="58" t="n">
        <v>-520</v>
      </c>
      <c r="H8" s="58" t="n">
        <v>0</v>
      </c>
      <c r="I8" s="58" t="n">
        <v>0</v>
      </c>
      <c r="J8" s="58" t="n">
        <v>0</v>
      </c>
      <c r="K8" s="58" t="n">
        <v>0</v>
      </c>
      <c r="L8" s="58" t="n">
        <v>0</v>
      </c>
      <c r="M8" s="58" t="n">
        <v>0</v>
      </c>
      <c r="N8" s="58" t="n">
        <v>0</v>
      </c>
    </row>
    <row r="9">
      <c r="B9" s="56" t="inlineStr">
        <is>
          <t>Other WC items</t>
        </is>
      </c>
      <c r="C9" s="57" t="n">
        <v>1231</v>
      </c>
      <c r="D9" s="58" t="n">
        <v>-303</v>
      </c>
      <c r="E9" s="57" t="n">
        <v>1870</v>
      </c>
      <c r="F9" s="58" t="n">
        <v>-398</v>
      </c>
      <c r="G9" s="57" t="n">
        <v>5852</v>
      </c>
      <c r="H9" s="57" t="n">
        <v>4727</v>
      </c>
      <c r="I9" s="58" t="n">
        <v>494</v>
      </c>
      <c r="J9" s="57" t="n">
        <v>4512</v>
      </c>
      <c r="K9" s="58" t="n">
        <v>875</v>
      </c>
      <c r="L9" s="57" t="n">
        <v>-4150</v>
      </c>
      <c r="M9" s="57" t="n">
        <v>-4396</v>
      </c>
      <c r="N9" s="57" t="n">
        <v>-2194</v>
      </c>
    </row>
    <row r="10">
      <c r="B10" s="56" t="inlineStr">
        <is>
          <t>Working capital changes</t>
        </is>
      </c>
      <c r="C10" s="57" t="n">
        <v>-2280</v>
      </c>
      <c r="D10" s="58" t="n">
        <v>-3</v>
      </c>
      <c r="E10" s="57" t="n">
        <v>4157</v>
      </c>
      <c r="F10" s="57" t="n">
        <v>-3672</v>
      </c>
      <c r="G10" s="57" t="n">
        <v>1313</v>
      </c>
      <c r="H10" s="57" t="n">
        <v>3254</v>
      </c>
      <c r="I10" s="57" t="n">
        <v>-6434</v>
      </c>
      <c r="J10" s="57" t="n">
        <v>-7221</v>
      </c>
      <c r="K10" s="57" t="n">
        <v>5065</v>
      </c>
      <c r="L10" s="58" t="n">
        <v>-93</v>
      </c>
      <c r="M10" s="57" t="n">
        <v>-10750</v>
      </c>
      <c r="N10" s="57" t="n">
        <v>-3127</v>
      </c>
    </row>
    <row r="11">
      <c r="B11" s="56" t="inlineStr">
        <is>
          <t>Direct taxes</t>
        </is>
      </c>
      <c r="C11" s="57" t="n">
        <v>-1768</v>
      </c>
      <c r="D11" s="57" t="n">
        <v>-2240</v>
      </c>
      <c r="E11" s="57" t="n">
        <v>-4308</v>
      </c>
      <c r="F11" s="57" t="n">
        <v>-4194</v>
      </c>
      <c r="G11" s="57" t="n">
        <v>-2040</v>
      </c>
      <c r="H11" s="57" t="n">
        <v>-1895</v>
      </c>
      <c r="I11" s="57" t="n">
        <v>-3021</v>
      </c>
      <c r="J11" s="57" t="n">
        <v>-2659</v>
      </c>
      <c r="K11" s="57" t="n">
        <v>-1785</v>
      </c>
      <c r="L11" s="57" t="n">
        <v>-2105</v>
      </c>
      <c r="M11" s="57" t="n">
        <v>-1910</v>
      </c>
      <c r="N11" s="57" t="n">
        <v>-3179</v>
      </c>
    </row>
    <row r="12">
      <c r="B12" s="56" t="inlineStr">
        <is>
          <t>Cash from Investing Activity -</t>
        </is>
      </c>
      <c r="C12" s="57" t="n">
        <v>-19464</v>
      </c>
      <c r="D12" s="57" t="n">
        <v>-22969</v>
      </c>
      <c r="E12" s="57" t="n">
        <v>-27991</v>
      </c>
      <c r="F12" s="57" t="n">
        <v>-36232</v>
      </c>
      <c r="G12" s="57" t="n">
        <v>-36694</v>
      </c>
      <c r="H12" s="57" t="n">
        <v>-39571</v>
      </c>
      <c r="I12" s="57" t="n">
        <v>-25139</v>
      </c>
      <c r="J12" s="57" t="n">
        <v>-20878</v>
      </c>
      <c r="K12" s="57" t="n">
        <v>-33115</v>
      </c>
      <c r="L12" s="57" t="n">
        <v>-25672</v>
      </c>
      <c r="M12" s="57" t="n">
        <v>-4444</v>
      </c>
      <c r="N12" s="57" t="n">
        <v>-15417</v>
      </c>
    </row>
    <row r="13">
      <c r="B13" s="56" t="inlineStr">
        <is>
          <t>Fixed assets purchased</t>
        </is>
      </c>
      <c r="C13" s="57" t="n">
        <v>-13876</v>
      </c>
      <c r="D13" s="57" t="n">
        <v>-18863</v>
      </c>
      <c r="E13" s="57" t="n">
        <v>-26975</v>
      </c>
      <c r="F13" s="57" t="n">
        <v>-31962</v>
      </c>
      <c r="G13" s="57" t="n">
        <v>-31503</v>
      </c>
      <c r="H13" s="57" t="n">
        <v>-16072</v>
      </c>
      <c r="I13" s="57" t="n">
        <v>-35079</v>
      </c>
      <c r="J13" s="57" t="n">
        <v>-35304</v>
      </c>
      <c r="K13" s="57" t="n">
        <v>-29702</v>
      </c>
      <c r="L13" s="57" t="n">
        <v>-20205</v>
      </c>
      <c r="M13" s="57" t="n">
        <v>-15168</v>
      </c>
      <c r="N13" s="57" t="n">
        <v>-19230</v>
      </c>
    </row>
    <row r="14">
      <c r="B14" s="56" t="inlineStr">
        <is>
          <t>Fixed assets sold</t>
        </is>
      </c>
      <c r="C14" s="58" t="n">
        <v>93</v>
      </c>
      <c r="D14" s="58" t="n">
        <v>37</v>
      </c>
      <c r="E14" s="58" t="n">
        <v>50</v>
      </c>
      <c r="F14" s="58" t="n">
        <v>74</v>
      </c>
      <c r="G14" s="58" t="n">
        <v>59</v>
      </c>
      <c r="H14" s="58" t="n">
        <v>53</v>
      </c>
      <c r="I14" s="58" t="n">
        <v>30</v>
      </c>
      <c r="J14" s="58" t="n">
        <v>67</v>
      </c>
      <c r="K14" s="58" t="n">
        <v>171</v>
      </c>
      <c r="L14" s="58" t="n">
        <v>351</v>
      </c>
      <c r="M14" s="58" t="n">
        <v>230</v>
      </c>
      <c r="N14" s="58" t="n">
        <v>285</v>
      </c>
    </row>
    <row r="15">
      <c r="B15" s="56" t="inlineStr">
        <is>
          <t>Investments purchased</t>
        </is>
      </c>
      <c r="C15" s="57" t="n">
        <v>-5857</v>
      </c>
      <c r="D15" s="58" t="n">
        <v>73</v>
      </c>
      <c r="E15" s="58" t="n">
        <v>-429</v>
      </c>
      <c r="F15" s="57" t="n">
        <v>-5461</v>
      </c>
      <c r="G15" s="57" t="n">
        <v>-4728</v>
      </c>
      <c r="H15" s="58" t="n">
        <v>-6</v>
      </c>
      <c r="I15" s="58" t="n">
        <v>-329</v>
      </c>
      <c r="J15" s="58" t="n">
        <v>-130</v>
      </c>
      <c r="K15" s="57" t="n">
        <v>-1439</v>
      </c>
      <c r="L15" s="57" t="n">
        <v>-7530</v>
      </c>
      <c r="M15" s="57" t="n">
        <v>-3008</v>
      </c>
      <c r="N15" s="58" t="n">
        <v>-50</v>
      </c>
    </row>
    <row r="16">
      <c r="B16" s="56" t="inlineStr">
        <is>
          <t>Investments sold</t>
        </is>
      </c>
      <c r="C16" s="58" t="n">
        <v>84</v>
      </c>
      <c r="D16" s="58" t="n">
        <v>34</v>
      </c>
      <c r="E16" s="58" t="n">
        <v>4</v>
      </c>
      <c r="F16" s="58" t="n">
        <v>42</v>
      </c>
      <c r="G16" s="58" t="n">
        <v>89</v>
      </c>
      <c r="H16" s="57" t="n">
        <v>1965</v>
      </c>
      <c r="I16" s="57" t="n">
        <v>2381</v>
      </c>
      <c r="J16" s="57" t="n">
        <v>5644</v>
      </c>
      <c r="K16" s="58" t="n">
        <v>21</v>
      </c>
      <c r="L16" s="58" t="n">
        <v>226</v>
      </c>
      <c r="M16" s="58" t="n">
        <v>104</v>
      </c>
      <c r="N16" s="57" t="n">
        <v>6895</v>
      </c>
    </row>
    <row r="17">
      <c r="B17" s="56" t="inlineStr">
        <is>
          <t>Interest received</t>
        </is>
      </c>
      <c r="C17" s="58" t="n">
        <v>467</v>
      </c>
      <c r="D17" s="58" t="n">
        <v>713</v>
      </c>
      <c r="E17" s="58" t="n">
        <v>653</v>
      </c>
      <c r="F17" s="58" t="n">
        <v>698</v>
      </c>
      <c r="G17" s="58" t="n">
        <v>731</v>
      </c>
      <c r="H17" s="58" t="n">
        <v>638</v>
      </c>
      <c r="I17" s="58" t="n">
        <v>690</v>
      </c>
      <c r="J17" s="58" t="n">
        <v>761</v>
      </c>
      <c r="K17" s="57" t="n">
        <v>1104</v>
      </c>
      <c r="L17" s="58" t="n">
        <v>428</v>
      </c>
      <c r="M17" s="58" t="n">
        <v>653</v>
      </c>
      <c r="N17" s="58" t="n">
        <v>973</v>
      </c>
    </row>
    <row r="18">
      <c r="B18" s="56" t="inlineStr">
        <is>
          <t>Dividends received</t>
        </is>
      </c>
      <c r="C18" s="58" t="n">
        <v>70</v>
      </c>
      <c r="D18" s="58" t="n">
        <v>95</v>
      </c>
      <c r="E18" s="58" t="n">
        <v>40</v>
      </c>
      <c r="F18" s="58" t="n">
        <v>80</v>
      </c>
      <c r="G18" s="58" t="n">
        <v>58</v>
      </c>
      <c r="H18" s="58" t="n">
        <v>620</v>
      </c>
      <c r="I18" s="57" t="n">
        <v>1797</v>
      </c>
      <c r="J18" s="58" t="n">
        <v>232</v>
      </c>
      <c r="K18" s="58" t="n">
        <v>21</v>
      </c>
      <c r="L18" s="58" t="n">
        <v>18</v>
      </c>
      <c r="M18" s="58" t="n">
        <v>32</v>
      </c>
      <c r="N18" s="58" t="n">
        <v>46</v>
      </c>
    </row>
    <row r="19">
      <c r="B19" s="56" t="inlineStr">
        <is>
          <t>Invest in subsidiaries</t>
        </is>
      </c>
      <c r="C19" s="58" t="n">
        <v>-304</v>
      </c>
      <c r="D19" s="58" t="n">
        <v>0</v>
      </c>
      <c r="E19" s="58" t="n">
        <v>0</v>
      </c>
      <c r="F19" s="58" t="n">
        <v>0</v>
      </c>
      <c r="G19" s="58" t="n">
        <v>0</v>
      </c>
      <c r="H19" s="58" t="n">
        <v>0</v>
      </c>
      <c r="I19" s="58" t="n">
        <v>0</v>
      </c>
      <c r="J19" s="58" t="n">
        <v>0</v>
      </c>
      <c r="K19" s="58" t="n">
        <v>0</v>
      </c>
      <c r="L19" s="58" t="n">
        <v>0</v>
      </c>
      <c r="M19" s="58" t="n">
        <v>0</v>
      </c>
      <c r="N19" s="58" t="n">
        <v>0</v>
      </c>
    </row>
    <row r="20">
      <c r="B20" s="56" t="inlineStr">
        <is>
          <t>Investment in group cos</t>
        </is>
      </c>
      <c r="C20" s="58" t="n">
        <v>-9</v>
      </c>
      <c r="D20" s="58" t="n">
        <v>0</v>
      </c>
      <c r="E20" s="58" t="n">
        <v>0</v>
      </c>
      <c r="F20" s="58" t="n">
        <v>-160</v>
      </c>
      <c r="G20" s="58" t="n">
        <v>0</v>
      </c>
      <c r="H20" s="58" t="n">
        <v>-107</v>
      </c>
      <c r="I20" s="58" t="n">
        <v>-4</v>
      </c>
      <c r="J20" s="58" t="n">
        <v>-9</v>
      </c>
      <c r="K20" s="58" t="n">
        <v>-606</v>
      </c>
      <c r="L20" s="58" t="n">
        <v>-10</v>
      </c>
      <c r="M20" s="58" t="n">
        <v>0</v>
      </c>
      <c r="N20" s="58" t="n">
        <v>0</v>
      </c>
    </row>
    <row r="21">
      <c r="B21" s="56" t="inlineStr">
        <is>
          <t>Redemp n Canc of Shares</t>
        </is>
      </c>
      <c r="C21" s="58" t="n">
        <v>0</v>
      </c>
      <c r="D21" s="58" t="n">
        <v>0</v>
      </c>
      <c r="E21" s="58" t="n">
        <v>0</v>
      </c>
      <c r="F21" s="58" t="n">
        <v>0</v>
      </c>
      <c r="G21" s="58" t="n">
        <v>0</v>
      </c>
      <c r="H21" s="58" t="n">
        <v>0</v>
      </c>
      <c r="I21" s="58" t="n">
        <v>14</v>
      </c>
      <c r="J21" s="58" t="n">
        <v>533</v>
      </c>
      <c r="K21" s="58" t="n">
        <v>0</v>
      </c>
      <c r="L21" s="58" t="n">
        <v>0</v>
      </c>
      <c r="M21" s="58" t="n">
        <v>0</v>
      </c>
      <c r="N21" s="58" t="n">
        <v>19</v>
      </c>
    </row>
    <row r="22">
      <c r="B22" s="56" t="inlineStr">
        <is>
          <t>Acquisition of companies</t>
        </is>
      </c>
      <c r="C22" s="58" t="n">
        <v>0</v>
      </c>
      <c r="D22" s="58" t="n">
        <v>0</v>
      </c>
      <c r="E22" s="58" t="n">
        <v>-185</v>
      </c>
      <c r="F22" s="58" t="n">
        <v>0</v>
      </c>
      <c r="G22" s="58" t="n">
        <v>-111</v>
      </c>
      <c r="H22" s="58" t="n">
        <v>0</v>
      </c>
      <c r="I22" s="58" t="n">
        <v>0</v>
      </c>
      <c r="J22" s="58" t="n">
        <v>-8</v>
      </c>
      <c r="K22" s="58" t="n">
        <v>-27</v>
      </c>
      <c r="L22" s="58" t="n">
        <v>0</v>
      </c>
      <c r="M22" s="58" t="n">
        <v>-98</v>
      </c>
      <c r="N22" s="58" t="n">
        <v>0</v>
      </c>
    </row>
    <row r="23">
      <c r="B23" s="56" t="inlineStr">
        <is>
          <t>Inter corporate deposits</t>
        </is>
      </c>
      <c r="C23" s="58" t="n">
        <v>-3</v>
      </c>
      <c r="D23" s="58" t="n">
        <v>45</v>
      </c>
      <c r="E23" s="58" t="n">
        <v>0</v>
      </c>
      <c r="F23" s="58" t="n">
        <v>0</v>
      </c>
      <c r="G23" s="58" t="n">
        <v>0</v>
      </c>
      <c r="H23" s="58" t="n">
        <v>0</v>
      </c>
      <c r="I23" s="58" t="n">
        <v>0</v>
      </c>
      <c r="J23" s="58" t="n">
        <v>0</v>
      </c>
      <c r="K23" s="58" t="n">
        <v>0</v>
      </c>
      <c r="L23" s="58" t="n">
        <v>0</v>
      </c>
      <c r="M23" s="58" t="n">
        <v>0</v>
      </c>
      <c r="N23" s="58" t="n">
        <v>0</v>
      </c>
    </row>
    <row r="24">
      <c r="B24" s="56" t="inlineStr">
        <is>
          <t>Other investing items</t>
        </is>
      </c>
      <c r="C24" s="58" t="n">
        <v>-129</v>
      </c>
      <c r="D24" s="57" t="n">
        <v>-5103</v>
      </c>
      <c r="E24" s="57" t="n">
        <v>-1149</v>
      </c>
      <c r="F24" s="58" t="n">
        <v>456</v>
      </c>
      <c r="G24" s="57" t="n">
        <v>-1289</v>
      </c>
      <c r="H24" s="57" t="n">
        <v>-26663</v>
      </c>
      <c r="I24" s="57" t="n">
        <v>5360</v>
      </c>
      <c r="J24" s="57" t="n">
        <v>7335</v>
      </c>
      <c r="K24" s="57" t="n">
        <v>-2659</v>
      </c>
      <c r="L24" s="57" t="n">
        <v>1051</v>
      </c>
      <c r="M24" s="57" t="n">
        <v>12813</v>
      </c>
      <c r="N24" s="57" t="n">
        <v>-4357</v>
      </c>
    </row>
    <row r="25">
      <c r="B25" s="56" t="inlineStr">
        <is>
          <t>Cash from Financing Activity -</t>
        </is>
      </c>
      <c r="C25" s="57" t="n">
        <v>6567</v>
      </c>
      <c r="D25" s="57" t="n">
        <v>-1692</v>
      </c>
      <c r="E25" s="57" t="n">
        <v>-3883</v>
      </c>
      <c r="F25" s="57" t="n">
        <v>5201</v>
      </c>
      <c r="G25" s="57" t="n">
        <v>-3795</v>
      </c>
      <c r="H25" s="57" t="n">
        <v>6205</v>
      </c>
      <c r="I25" s="57" t="n">
        <v>2012</v>
      </c>
      <c r="J25" s="57" t="n">
        <v>8830</v>
      </c>
      <c r="K25" s="57" t="n">
        <v>3390</v>
      </c>
      <c r="L25" s="57" t="n">
        <v>9904</v>
      </c>
      <c r="M25" s="57" t="n">
        <v>-3380</v>
      </c>
      <c r="N25" s="57" t="n">
        <v>-26243</v>
      </c>
    </row>
    <row r="26">
      <c r="B26" s="56" t="inlineStr">
        <is>
          <t>Proceeds from shares</t>
        </is>
      </c>
      <c r="C26" s="58" t="n">
        <v>139</v>
      </c>
      <c r="D26" s="58" t="n">
        <v>1</v>
      </c>
      <c r="E26" s="58" t="n">
        <v>0</v>
      </c>
      <c r="F26" s="58" t="n">
        <v>0</v>
      </c>
      <c r="G26" s="57" t="n">
        <v>7433</v>
      </c>
      <c r="H26" s="58" t="n">
        <v>5</v>
      </c>
      <c r="I26" s="58" t="n">
        <v>0</v>
      </c>
      <c r="J26" s="58" t="n">
        <v>0</v>
      </c>
      <c r="K26" s="57" t="n">
        <v>3889</v>
      </c>
      <c r="L26" s="57" t="n">
        <v>2603</v>
      </c>
      <c r="M26" s="58" t="n">
        <v>19</v>
      </c>
      <c r="N26" s="58" t="n">
        <v>20</v>
      </c>
    </row>
    <row r="27">
      <c r="B27" s="56" t="inlineStr">
        <is>
          <t>Redemption of debentures</t>
        </is>
      </c>
      <c r="C27" s="58" t="n">
        <v>0</v>
      </c>
      <c r="D27" s="58" t="n">
        <v>-97</v>
      </c>
      <c r="E27" s="58" t="n">
        <v>-658</v>
      </c>
      <c r="F27" s="58" t="n">
        <v>-744</v>
      </c>
      <c r="G27" s="58" t="n">
        <v>0</v>
      </c>
      <c r="H27" s="58" t="n">
        <v>0</v>
      </c>
      <c r="I27" s="58" t="n">
        <v>0</v>
      </c>
      <c r="J27" s="58" t="n">
        <v>0</v>
      </c>
      <c r="K27" s="58" t="n">
        <v>0</v>
      </c>
      <c r="L27" s="58" t="n">
        <v>0</v>
      </c>
      <c r="M27" s="58" t="n">
        <v>0</v>
      </c>
      <c r="N27" s="58" t="n">
        <v>0</v>
      </c>
    </row>
    <row r="28">
      <c r="B28" s="56" t="inlineStr">
        <is>
          <t>Proceeds from borrowings</t>
        </is>
      </c>
      <c r="C28" s="57" t="n">
        <v>27462</v>
      </c>
      <c r="D28" s="57" t="n">
        <v>27863</v>
      </c>
      <c r="E28" s="57" t="n">
        <v>33258</v>
      </c>
      <c r="F28" s="57" t="n">
        <v>36363</v>
      </c>
      <c r="G28" s="57" t="n">
        <v>19519</v>
      </c>
      <c r="H28" s="57" t="n">
        <v>33390</v>
      </c>
      <c r="I28" s="57" t="n">
        <v>37482</v>
      </c>
      <c r="J28" s="57" t="n">
        <v>51128</v>
      </c>
      <c r="K28" s="57" t="n">
        <v>38297</v>
      </c>
      <c r="L28" s="57" t="n">
        <v>46641</v>
      </c>
      <c r="M28" s="57" t="n">
        <v>46578</v>
      </c>
      <c r="N28" s="57" t="n">
        <v>43934</v>
      </c>
    </row>
    <row r="29">
      <c r="B29" s="56" t="inlineStr">
        <is>
          <t>Repayment of borrowings</t>
        </is>
      </c>
      <c r="C29" s="57" t="n">
        <v>-15010</v>
      </c>
      <c r="D29" s="57" t="n">
        <v>-20395</v>
      </c>
      <c r="E29" s="57" t="n">
        <v>-29141</v>
      </c>
      <c r="F29" s="57" t="n">
        <v>-23332</v>
      </c>
      <c r="G29" s="57" t="n">
        <v>-24924</v>
      </c>
      <c r="H29" s="57" t="n">
        <v>-21732</v>
      </c>
      <c r="I29" s="57" t="n">
        <v>-29964</v>
      </c>
      <c r="J29" s="57" t="n">
        <v>-35198</v>
      </c>
      <c r="K29" s="57" t="n">
        <v>-29847</v>
      </c>
      <c r="L29" s="57" t="n">
        <v>-29709</v>
      </c>
      <c r="M29" s="57" t="n">
        <v>-42816</v>
      </c>
      <c r="N29" s="57" t="n">
        <v>-62557</v>
      </c>
    </row>
    <row r="30">
      <c r="B30" s="56" t="inlineStr">
        <is>
          <t>Interest paid fin</t>
        </is>
      </c>
      <c r="C30" s="57" t="n">
        <v>-3374</v>
      </c>
      <c r="D30" s="57" t="n">
        <v>-4666</v>
      </c>
      <c r="E30" s="57" t="n">
        <v>-6171</v>
      </c>
      <c r="F30" s="57" t="n">
        <v>-6307</v>
      </c>
      <c r="G30" s="57" t="n">
        <v>-5716</v>
      </c>
      <c r="H30" s="57" t="n">
        <v>-5336</v>
      </c>
      <c r="I30" s="57" t="n">
        <v>-5411</v>
      </c>
      <c r="J30" s="57" t="n">
        <v>-7005</v>
      </c>
      <c r="K30" s="57" t="n">
        <v>-7518</v>
      </c>
      <c r="L30" s="57" t="n">
        <v>-8123</v>
      </c>
      <c r="M30" s="57" t="n">
        <v>-9251</v>
      </c>
      <c r="N30" s="57" t="n">
        <v>-9336</v>
      </c>
    </row>
    <row r="31">
      <c r="B31" s="56" t="inlineStr">
        <is>
          <t>Dividends paid</t>
        </is>
      </c>
      <c r="C31" s="57" t="n">
        <v>-1503</v>
      </c>
      <c r="D31" s="57" t="n">
        <v>-1551</v>
      </c>
      <c r="E31" s="58" t="n">
        <v>-722</v>
      </c>
      <c r="F31" s="58" t="n">
        <v>-720</v>
      </c>
      <c r="G31" s="58" t="n">
        <v>-108</v>
      </c>
      <c r="H31" s="58" t="n">
        <v>-121</v>
      </c>
      <c r="I31" s="58" t="n">
        <v>-96</v>
      </c>
      <c r="J31" s="58" t="n">
        <v>-95</v>
      </c>
      <c r="K31" s="58" t="n">
        <v>-57</v>
      </c>
      <c r="L31" s="58" t="n">
        <v>-30</v>
      </c>
      <c r="M31" s="58" t="n">
        <v>-100</v>
      </c>
      <c r="N31" s="58" t="n">
        <v>-141</v>
      </c>
    </row>
    <row r="32">
      <c r="B32" s="56" t="inlineStr">
        <is>
          <t>Financial liabilities</t>
        </is>
      </c>
      <c r="C32" s="58" t="n">
        <v>0</v>
      </c>
      <c r="D32" s="58" t="n">
        <v>0</v>
      </c>
      <c r="E32" s="58" t="n">
        <v>0</v>
      </c>
      <c r="F32" s="58" t="n">
        <v>0</v>
      </c>
      <c r="G32" s="58" t="n">
        <v>0</v>
      </c>
      <c r="H32" s="58" t="n">
        <v>0</v>
      </c>
      <c r="I32" s="58" t="n">
        <v>0</v>
      </c>
      <c r="J32" s="58" t="n">
        <v>0</v>
      </c>
      <c r="K32" s="57" t="n">
        <v>-1346</v>
      </c>
      <c r="L32" s="57" t="n">
        <v>-1477</v>
      </c>
      <c r="M32" s="57" t="n">
        <v>-1559</v>
      </c>
      <c r="N32" s="57" t="n">
        <v>-1517</v>
      </c>
    </row>
    <row r="33">
      <c r="B33" s="56" t="inlineStr">
        <is>
          <t>Other financing items</t>
        </is>
      </c>
      <c r="C33" s="57" t="n">
        <v>-1147</v>
      </c>
      <c r="D33" s="57" t="n">
        <v>-2849</v>
      </c>
      <c r="E33" s="58" t="n">
        <v>-450</v>
      </c>
      <c r="F33" s="58" t="n">
        <v>-57</v>
      </c>
      <c r="G33" s="58" t="n">
        <v>0</v>
      </c>
      <c r="H33" s="58" t="n">
        <v>0</v>
      </c>
      <c r="I33" s="58" t="n">
        <v>0</v>
      </c>
      <c r="J33" s="58" t="n">
        <v>0</v>
      </c>
      <c r="K33" s="58" t="n">
        <v>-29</v>
      </c>
      <c r="L33" s="58" t="n">
        <v>0</v>
      </c>
      <c r="M33" s="57" t="n">
        <v>3750</v>
      </c>
      <c r="N33" s="57" t="n">
        <v>3355</v>
      </c>
    </row>
    <row r="34">
      <c r="B34" s="56" t="inlineStr">
        <is>
          <t>Net Cash Flow</t>
        </is>
      </c>
      <c r="C34" s="57" t="n">
        <v>5488</v>
      </c>
      <c r="D34" s="57" t="n">
        <v>-2499</v>
      </c>
      <c r="E34" s="57" t="n">
        <v>4277</v>
      </c>
      <c r="F34" s="57" t="n">
        <v>4500</v>
      </c>
      <c r="G34" s="57" t="n">
        <v>-2589</v>
      </c>
      <c r="H34" s="57" t="n">
        <v>-3167</v>
      </c>
      <c r="I34" s="58" t="n">
        <v>730</v>
      </c>
      <c r="J34" s="57" t="n">
        <v>6843</v>
      </c>
      <c r="K34" s="57" t="n">
        <v>-3092</v>
      </c>
      <c r="L34" s="57" t="n">
        <v>13232</v>
      </c>
      <c r="M34" s="57" t="n">
        <v>6459</v>
      </c>
      <c r="N34" s="57" t="n">
        <v>-6272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sales</t>
        </is>
      </c>
      <c r="C1" t="inlineStr">
        <is>
          <t>raw_material_cost</t>
        </is>
      </c>
      <c r="D1" t="inlineStr">
        <is>
          <t>change_in_inventory</t>
        </is>
      </c>
      <c r="E1" t="inlineStr">
        <is>
          <t>power_fuel</t>
        </is>
      </c>
      <c r="F1" t="inlineStr">
        <is>
          <t>other_mfr_exp</t>
        </is>
      </c>
      <c r="G1" t="inlineStr">
        <is>
          <t>employee_cost</t>
        </is>
      </c>
      <c r="H1" t="inlineStr">
        <is>
          <t>selling_admin</t>
        </is>
      </c>
      <c r="I1" t="inlineStr">
        <is>
          <t>other_expenses</t>
        </is>
      </c>
      <c r="J1" t="inlineStr">
        <is>
          <t>other_income</t>
        </is>
      </c>
      <c r="K1" t="inlineStr">
        <is>
          <t>depreciation</t>
        </is>
      </c>
      <c r="L1" t="inlineStr">
        <is>
          <t>interest</t>
        </is>
      </c>
      <c r="M1" t="inlineStr">
        <is>
          <t>ebt</t>
        </is>
      </c>
      <c r="N1" t="inlineStr">
        <is>
          <t>tax</t>
        </is>
      </c>
      <c r="O1" t="inlineStr">
        <is>
          <t>net_profit</t>
        </is>
      </c>
      <c r="P1" t="inlineStr">
        <is>
          <t>dividend_amount</t>
        </is>
      </c>
      <c r="Q1" t="inlineStr">
        <is>
          <t>equity_share_cap</t>
        </is>
      </c>
      <c r="R1" t="inlineStr">
        <is>
          <t>total_debt</t>
        </is>
      </c>
      <c r="S1" t="inlineStr">
        <is>
          <t>total_assets</t>
        </is>
      </c>
      <c r="T1" t="inlineStr">
        <is>
          <t>equity_shares</t>
        </is>
      </c>
      <c r="U1" t="inlineStr">
        <is>
          <t>reserves</t>
        </is>
      </c>
      <c r="V1" t="inlineStr">
        <is>
          <t>debt</t>
        </is>
      </c>
      <c r="W1" t="inlineStr">
        <is>
          <t>fixed_assets</t>
        </is>
      </c>
      <c r="X1" t="inlineStr">
        <is>
          <t>debtors</t>
        </is>
      </c>
      <c r="Y1" t="inlineStr">
        <is>
          <t>inventory</t>
        </is>
      </c>
      <c r="Z1" t="inlineStr">
        <is>
          <t>cash_operating</t>
        </is>
      </c>
      <c r="AA1" t="inlineStr">
        <is>
          <t>payables</t>
        </is>
      </c>
      <c r="AB1" t="inlineStr">
        <is>
          <t>cogs</t>
        </is>
      </c>
      <c r="AC1" t="inlineStr">
        <is>
          <t>ebitda</t>
        </is>
      </c>
      <c r="AD1" t="inlineStr">
        <is>
          <t>ebit</t>
        </is>
      </c>
      <c r="AE1" t="inlineStr">
        <is>
          <t>sales_growth</t>
        </is>
      </c>
      <c r="AF1" t="inlineStr">
        <is>
          <t>ebitda_growth</t>
        </is>
      </c>
      <c r="AG1" t="inlineStr">
        <is>
          <t>ebit_growth</t>
        </is>
      </c>
      <c r="AH1" t="inlineStr">
        <is>
          <t>net_profit_growth</t>
        </is>
      </c>
      <c r="AI1" t="inlineStr">
        <is>
          <t>gross_profit</t>
        </is>
      </c>
      <c r="AJ1" t="inlineStr">
        <is>
          <t>gross_margin</t>
        </is>
      </c>
      <c r="AK1" t="inlineStr">
        <is>
          <t>ebitda_margin</t>
        </is>
      </c>
      <c r="AL1" t="inlineStr">
        <is>
          <t>ebit_margin</t>
        </is>
      </c>
      <c r="AM1" t="inlineStr">
        <is>
          <t>ebt_margin</t>
        </is>
      </c>
      <c r="AN1" t="inlineStr">
        <is>
          <t>net_margin</t>
        </is>
      </c>
      <c r="AO1" t="inlineStr">
        <is>
          <t>avg_debtors</t>
        </is>
      </c>
      <c r="AP1" t="inlineStr">
        <is>
          <t>debtor_turnover</t>
        </is>
      </c>
      <c r="AQ1" t="inlineStr">
        <is>
          <t>inventory_turnover</t>
        </is>
      </c>
      <c r="AR1" t="inlineStr">
        <is>
          <t>creditor_turnover</t>
        </is>
      </c>
      <c r="AS1" t="inlineStr">
        <is>
          <t>fixed_asset_turnover</t>
        </is>
      </c>
      <c r="AT1" t="inlineStr">
        <is>
          <t>capital_employed</t>
        </is>
      </c>
      <c r="AU1" t="inlineStr">
        <is>
          <t>capital_turnover</t>
        </is>
      </c>
      <c r="AV1" t="inlineStr">
        <is>
          <t>debtor_days</t>
        </is>
      </c>
      <c r="AW1" t="inlineStr">
        <is>
          <t>payables_days</t>
        </is>
      </c>
      <c r="AX1" t="inlineStr">
        <is>
          <t>inventory_days</t>
        </is>
      </c>
      <c r="AY1" t="inlineStr">
        <is>
          <t>cash_conversion_cycle</t>
        </is>
      </c>
      <c r="AZ1" t="inlineStr">
        <is>
          <t>roce</t>
        </is>
      </c>
      <c r="BA1" t="inlineStr">
        <is>
          <t>interest_coverage</t>
        </is>
      </c>
      <c r="BB1" t="inlineStr">
        <is>
          <t>debt_to_ebitda</t>
        </is>
      </c>
      <c r="BC1" t="inlineStr">
        <is>
          <t>credit</t>
        </is>
      </c>
    </row>
    <row r="2">
      <c r="A2" t="n">
        <v>2017</v>
      </c>
      <c r="B2" t="n">
        <v>13260.83</v>
      </c>
      <c r="C2" t="n">
        <v>9821.139999999999</v>
      </c>
      <c r="D2" t="n">
        <v>313.71</v>
      </c>
      <c r="E2" t="n">
        <v>43.84</v>
      </c>
      <c r="F2" t="n">
        <v>160.42</v>
      </c>
      <c r="G2" t="n">
        <v>894.3200000000001</v>
      </c>
      <c r="H2" t="n">
        <v>1211.16</v>
      </c>
      <c r="I2" t="n">
        <v>279.76</v>
      </c>
      <c r="J2" t="n">
        <v>-42.38</v>
      </c>
      <c r="K2" t="n">
        <v>110.53</v>
      </c>
      <c r="L2" t="n">
        <v>37.74</v>
      </c>
      <c r="M2" t="n">
        <v>973.25</v>
      </c>
      <c r="N2" t="n">
        <v>275.97</v>
      </c>
      <c r="O2" t="n">
        <v>711.47</v>
      </c>
      <c r="P2" t="n">
        <v>230.83</v>
      </c>
      <c r="Q2" t="n">
        <v>88.78</v>
      </c>
      <c r="R2" t="n">
        <v>8407.57</v>
      </c>
      <c r="S2" t="n">
        <v>8407.57</v>
      </c>
      <c r="T2" t="n">
        <v>887786160</v>
      </c>
      <c r="U2" t="n">
        <v>4143.6</v>
      </c>
      <c r="V2" t="n">
        <v>1882.43</v>
      </c>
      <c r="W2" t="n">
        <v>1188.72</v>
      </c>
      <c r="X2" t="n">
        <v>207.6</v>
      </c>
      <c r="Y2" t="n">
        <v>4925.74</v>
      </c>
      <c r="Z2" t="n">
        <v>1712.3</v>
      </c>
      <c r="AA2" t="n">
        <v>2292.76</v>
      </c>
      <c r="AB2" t="n">
        <v>10606.01</v>
      </c>
      <c r="AC2" t="n">
        <v>1163.9</v>
      </c>
      <c r="AD2" t="n">
        <v>1053.37</v>
      </c>
      <c r="AE2" t="inlineStr"/>
      <c r="AF2" t="inlineStr"/>
      <c r="AG2" t="inlineStr"/>
      <c r="AH2" t="inlineStr"/>
      <c r="AI2" t="n">
        <v>2654.82</v>
      </c>
      <c r="AJ2" t="n">
        <v>0.2002</v>
      </c>
      <c r="AK2" t="n">
        <v>0.0878</v>
      </c>
      <c r="AL2" t="n">
        <v>0.0794</v>
      </c>
      <c r="AM2" t="n">
        <v>0.07340000000000001</v>
      </c>
      <c r="AN2" t="n">
        <v>0.0537</v>
      </c>
      <c r="AO2" t="inlineStr"/>
      <c r="AP2" t="inlineStr"/>
      <c r="AQ2" t="n">
        <v>2.69</v>
      </c>
      <c r="AR2" t="n">
        <v>5.78</v>
      </c>
      <c r="AS2" t="n">
        <v>11.16</v>
      </c>
      <c r="AT2" t="n">
        <v>6114.81</v>
      </c>
      <c r="AU2" t="n">
        <v>2.17</v>
      </c>
      <c r="AV2" t="inlineStr"/>
      <c r="AW2" t="n">
        <v>63</v>
      </c>
      <c r="AX2" t="n">
        <v>136</v>
      </c>
      <c r="AY2" t="inlineStr"/>
      <c r="AZ2" t="n">
        <v>0.1723</v>
      </c>
      <c r="BA2" t="n">
        <v>27.91</v>
      </c>
      <c r="BB2" t="n">
        <v>1.6</v>
      </c>
      <c r="BC2" t="inlineStr">
        <is>
          <t>Watch</t>
        </is>
      </c>
    </row>
    <row r="3">
      <c r="A3" t="n">
        <v>2018</v>
      </c>
      <c r="B3" t="n">
        <v>16119.77</v>
      </c>
      <c r="C3" t="n">
        <v>12664.83</v>
      </c>
      <c r="D3" t="n">
        <v>978.61</v>
      </c>
      <c r="E3" t="n">
        <v>45.32</v>
      </c>
      <c r="F3" t="n">
        <v>124.83</v>
      </c>
      <c r="G3" t="n">
        <v>906.26</v>
      </c>
      <c r="H3" t="n">
        <v>1277.81</v>
      </c>
      <c r="I3" t="n">
        <v>435.13</v>
      </c>
      <c r="J3" t="n">
        <v>69.93000000000001</v>
      </c>
      <c r="K3" t="n">
        <v>131.43</v>
      </c>
      <c r="L3" t="n">
        <v>52.92</v>
      </c>
      <c r="M3" t="n">
        <v>1529.78</v>
      </c>
      <c r="N3" t="n">
        <v>427.87</v>
      </c>
      <c r="O3" t="n">
        <v>1130.09</v>
      </c>
      <c r="P3" t="n">
        <v>332.92</v>
      </c>
      <c r="Q3" t="n">
        <v>88.78</v>
      </c>
      <c r="R3" t="n">
        <v>9521.040000000001</v>
      </c>
      <c r="S3" t="n">
        <v>9521.040000000001</v>
      </c>
      <c r="T3" t="n">
        <v>887786160</v>
      </c>
      <c r="U3" t="n">
        <v>5001.1</v>
      </c>
      <c r="V3" t="n">
        <v>1691.01</v>
      </c>
      <c r="W3" t="n">
        <v>1473.81</v>
      </c>
      <c r="X3" t="n">
        <v>295.69</v>
      </c>
      <c r="Y3" t="n">
        <v>5924.84</v>
      </c>
      <c r="Z3" t="n">
        <v>-51.12</v>
      </c>
      <c r="AA3" t="n">
        <v>2740.15</v>
      </c>
      <c r="AB3" t="n">
        <v>12762.63</v>
      </c>
      <c r="AC3" t="n">
        <v>1644.200000000001</v>
      </c>
      <c r="AD3" t="n">
        <v>1512.770000000001</v>
      </c>
      <c r="AE3" t="n">
        <v>0.2156</v>
      </c>
      <c r="AF3" t="n">
        <v>0.4127</v>
      </c>
      <c r="AG3" t="n">
        <v>0.4361</v>
      </c>
      <c r="AH3" t="n">
        <v>0.5884</v>
      </c>
      <c r="AI3" t="n">
        <v>3357.140000000001</v>
      </c>
      <c r="AJ3" t="n">
        <v>0.2083</v>
      </c>
      <c r="AK3" t="n">
        <v>0.102</v>
      </c>
      <c r="AL3" t="n">
        <v>0.09379999999999999</v>
      </c>
      <c r="AM3" t="n">
        <v>0.0949</v>
      </c>
      <c r="AN3" t="n">
        <v>0.0701</v>
      </c>
      <c r="AO3" t="n">
        <v>251.645</v>
      </c>
      <c r="AP3" t="n">
        <v>64.06</v>
      </c>
      <c r="AQ3" t="n">
        <v>2.72</v>
      </c>
      <c r="AR3" t="n">
        <v>5.88</v>
      </c>
      <c r="AS3" t="n">
        <v>10.94</v>
      </c>
      <c r="AT3" t="n">
        <v>6780.89</v>
      </c>
      <c r="AU3" t="n">
        <v>2.38</v>
      </c>
      <c r="AV3" t="n">
        <v>6</v>
      </c>
      <c r="AW3" t="n">
        <v>62</v>
      </c>
      <c r="AX3" t="n">
        <v>134</v>
      </c>
      <c r="AY3" t="n">
        <v>78</v>
      </c>
      <c r="AZ3" t="n">
        <v>0.2231</v>
      </c>
      <c r="BA3" t="n">
        <v>28.59</v>
      </c>
      <c r="BB3" t="n">
        <v>1</v>
      </c>
      <c r="BC3" t="inlineStr">
        <is>
          <t>Healthy</t>
        </is>
      </c>
    </row>
    <row r="4">
      <c r="A4" t="n">
        <v>2019</v>
      </c>
      <c r="B4" t="n">
        <v>19778.52</v>
      </c>
      <c r="C4" t="n">
        <v>15170.66</v>
      </c>
      <c r="D4" t="n">
        <v>776.41</v>
      </c>
      <c r="E4" t="n">
        <v>48.51</v>
      </c>
      <c r="F4" t="n">
        <v>193.28</v>
      </c>
      <c r="G4" t="n">
        <v>1024.44</v>
      </c>
      <c r="H4" t="n">
        <v>1454.32</v>
      </c>
      <c r="I4" t="n">
        <v>669.9299999999999</v>
      </c>
      <c r="J4" t="n">
        <v>178.48</v>
      </c>
      <c r="K4" t="n">
        <v>162.84</v>
      </c>
      <c r="L4" t="n">
        <v>52.54</v>
      </c>
      <c r="M4" t="n">
        <v>1956.89</v>
      </c>
      <c r="N4" t="n">
        <v>568.24</v>
      </c>
      <c r="O4" t="n">
        <v>1404.15</v>
      </c>
      <c r="P4" t="n">
        <v>443.9</v>
      </c>
      <c r="Q4" t="n">
        <v>88.78</v>
      </c>
      <c r="R4" t="n">
        <v>11709.84</v>
      </c>
      <c r="S4" t="n">
        <v>11709.84</v>
      </c>
      <c r="T4" t="n">
        <v>887786160</v>
      </c>
      <c r="U4" t="n">
        <v>5981.37</v>
      </c>
      <c r="V4" t="n">
        <v>2392.98</v>
      </c>
      <c r="W4" t="n">
        <v>1566.63</v>
      </c>
      <c r="X4" t="n">
        <v>420.45</v>
      </c>
      <c r="Y4" t="n">
        <v>7038.82</v>
      </c>
      <c r="Z4" t="n">
        <v>1242.92</v>
      </c>
      <c r="AA4" t="n">
        <v>3246.71</v>
      </c>
      <c r="AB4" t="n">
        <v>15660.48</v>
      </c>
      <c r="AC4" t="n">
        <v>1993.790000000001</v>
      </c>
      <c r="AD4" t="n">
        <v>1830.950000000001</v>
      </c>
      <c r="AE4" t="n">
        <v>0.227</v>
      </c>
      <c r="AF4" t="n">
        <v>0.2126</v>
      </c>
      <c r="AG4" t="n">
        <v>0.2103</v>
      </c>
      <c r="AH4" t="n">
        <v>0.2425</v>
      </c>
      <c r="AI4" t="n">
        <v>4118.040000000001</v>
      </c>
      <c r="AJ4" t="n">
        <v>0.2082</v>
      </c>
      <c r="AK4" t="n">
        <v>0.1008</v>
      </c>
      <c r="AL4" t="n">
        <v>0.0926</v>
      </c>
      <c r="AM4" t="n">
        <v>0.0989</v>
      </c>
      <c r="AN4" t="n">
        <v>0.07099999999999999</v>
      </c>
      <c r="AO4" t="n">
        <v>358.07</v>
      </c>
      <c r="AP4" t="n">
        <v>55.24</v>
      </c>
      <c r="AQ4" t="n">
        <v>2.81</v>
      </c>
      <c r="AR4" t="n">
        <v>6.09</v>
      </c>
      <c r="AS4" t="n">
        <v>12.62</v>
      </c>
      <c r="AT4" t="n">
        <v>8463.129999999999</v>
      </c>
      <c r="AU4" t="n">
        <v>2.34</v>
      </c>
      <c r="AV4" t="n">
        <v>7</v>
      </c>
      <c r="AW4" t="n">
        <v>60</v>
      </c>
      <c r="AX4" t="n">
        <v>130</v>
      </c>
      <c r="AY4" t="n">
        <v>77</v>
      </c>
      <c r="AZ4" t="n">
        <v>0.2163</v>
      </c>
      <c r="BA4" t="n">
        <v>34.85</v>
      </c>
      <c r="BB4" t="n">
        <v>1.2</v>
      </c>
      <c r="BC4" t="inlineStr">
        <is>
          <t>Healthy</t>
        </is>
      </c>
    </row>
    <row r="5">
      <c r="A5" t="n">
        <v>2020</v>
      </c>
      <c r="B5" t="n">
        <v>21052</v>
      </c>
      <c r="C5" t="n">
        <v>16033</v>
      </c>
      <c r="D5" t="n">
        <v>878</v>
      </c>
      <c r="E5" t="n">
        <v>52</v>
      </c>
      <c r="F5" t="n">
        <v>215</v>
      </c>
      <c r="G5" t="n">
        <v>1204</v>
      </c>
      <c r="H5" t="n">
        <v>1470</v>
      </c>
      <c r="I5" t="n">
        <v>493</v>
      </c>
      <c r="J5" t="n">
        <v>153</v>
      </c>
      <c r="K5" t="n">
        <v>348</v>
      </c>
      <c r="L5" t="n">
        <v>166</v>
      </c>
      <c r="M5" t="n">
        <v>2102</v>
      </c>
      <c r="N5" t="n">
        <v>609</v>
      </c>
      <c r="O5" t="n">
        <v>1501</v>
      </c>
      <c r="P5" t="n">
        <v>356</v>
      </c>
      <c r="Q5" t="n">
        <v>89</v>
      </c>
      <c r="R5" t="n">
        <v>13544</v>
      </c>
      <c r="S5" t="n">
        <v>13544</v>
      </c>
      <c r="T5" t="n">
        <v>887786160</v>
      </c>
      <c r="U5" t="n">
        <v>6580</v>
      </c>
      <c r="V5" t="n">
        <v>3562</v>
      </c>
      <c r="W5" t="n">
        <v>2633</v>
      </c>
      <c r="X5" t="n">
        <v>312</v>
      </c>
      <c r="Y5" t="n">
        <v>8103</v>
      </c>
      <c r="Z5" t="n">
        <v>-348</v>
      </c>
      <c r="AA5" t="n">
        <v>3313</v>
      </c>
      <c r="AB5" t="n">
        <v>16626</v>
      </c>
      <c r="AC5" t="n">
        <v>2463</v>
      </c>
      <c r="AD5" t="n">
        <v>2115</v>
      </c>
      <c r="AE5" t="n">
        <v>0.0644</v>
      </c>
      <c r="AF5" t="n">
        <v>0.2353</v>
      </c>
      <c r="AG5" t="n">
        <v>0.1551</v>
      </c>
      <c r="AH5" t="n">
        <v>0.06900000000000001</v>
      </c>
      <c r="AI5" t="n">
        <v>4426</v>
      </c>
      <c r="AJ5" t="n">
        <v>0.2102</v>
      </c>
      <c r="AK5" t="n">
        <v>0.117</v>
      </c>
      <c r="AL5" t="n">
        <v>0.1005</v>
      </c>
      <c r="AM5" t="n">
        <v>0.0998</v>
      </c>
      <c r="AN5" t="n">
        <v>0.0713</v>
      </c>
      <c r="AO5" t="n">
        <v>366.225</v>
      </c>
      <c r="AP5" t="n">
        <v>57.48</v>
      </c>
      <c r="AQ5" t="n">
        <v>2.6</v>
      </c>
      <c r="AR5" t="n">
        <v>6.35</v>
      </c>
      <c r="AS5" t="n">
        <v>8</v>
      </c>
      <c r="AT5" t="n">
        <v>10231</v>
      </c>
      <c r="AU5" t="n">
        <v>2.06</v>
      </c>
      <c r="AV5" t="n">
        <v>6</v>
      </c>
      <c r="AW5" t="n">
        <v>57</v>
      </c>
      <c r="AX5" t="n">
        <v>140</v>
      </c>
      <c r="AY5" t="n">
        <v>89</v>
      </c>
      <c r="AZ5" t="n">
        <v>0.2067</v>
      </c>
      <c r="BA5" t="n">
        <v>12.74</v>
      </c>
      <c r="BB5" t="n">
        <v>1.4</v>
      </c>
      <c r="BC5" t="inlineStr">
        <is>
          <t>Healthy</t>
        </is>
      </c>
    </row>
    <row r="6">
      <c r="A6" t="n">
        <v>2021</v>
      </c>
      <c r="B6" t="n">
        <v>21644</v>
      </c>
      <c r="C6" t="n">
        <v>16292</v>
      </c>
      <c r="D6" t="n">
        <v>-122</v>
      </c>
      <c r="E6" t="n">
        <v>37</v>
      </c>
      <c r="F6" t="n">
        <v>141</v>
      </c>
      <c r="G6" t="n">
        <v>1069</v>
      </c>
      <c r="H6" t="n">
        <v>1029</v>
      </c>
      <c r="I6" t="n">
        <v>1229</v>
      </c>
      <c r="J6" t="n">
        <v>180</v>
      </c>
      <c r="K6" t="n">
        <v>375</v>
      </c>
      <c r="L6" t="n">
        <v>203</v>
      </c>
      <c r="M6" t="n">
        <v>1327</v>
      </c>
      <c r="N6" t="n">
        <v>353</v>
      </c>
      <c r="O6" t="n">
        <v>973</v>
      </c>
      <c r="P6" t="n">
        <v>356</v>
      </c>
      <c r="Q6" t="n">
        <v>89</v>
      </c>
      <c r="R6" t="n">
        <v>16444</v>
      </c>
      <c r="S6" t="n">
        <v>16444</v>
      </c>
      <c r="T6" t="n">
        <v>887786160</v>
      </c>
      <c r="U6" t="n">
        <v>7408</v>
      </c>
      <c r="V6" t="n">
        <v>5638</v>
      </c>
      <c r="W6" t="n">
        <v>2523</v>
      </c>
      <c r="X6" t="n">
        <v>366</v>
      </c>
      <c r="Y6" t="n">
        <v>8408</v>
      </c>
      <c r="Z6" t="n">
        <v>4139</v>
      </c>
      <c r="AA6" t="n">
        <v>3309</v>
      </c>
      <c r="AB6" t="n">
        <v>17661</v>
      </c>
      <c r="AC6" t="n">
        <v>1725</v>
      </c>
      <c r="AD6" t="n">
        <v>1350</v>
      </c>
      <c r="AE6" t="n">
        <v>0.0281</v>
      </c>
      <c r="AF6" t="n">
        <v>-0.2996</v>
      </c>
      <c r="AG6" t="n">
        <v>-0.3617</v>
      </c>
      <c r="AH6" t="n">
        <v>-0.3518</v>
      </c>
      <c r="AI6" t="n">
        <v>3983</v>
      </c>
      <c r="AJ6" t="n">
        <v>0.184</v>
      </c>
      <c r="AK6" t="n">
        <v>0.07969999999999999</v>
      </c>
      <c r="AL6" t="n">
        <v>0.0624</v>
      </c>
      <c r="AM6" t="n">
        <v>0.0613</v>
      </c>
      <c r="AN6" t="n">
        <v>0.045</v>
      </c>
      <c r="AO6" t="n">
        <v>339</v>
      </c>
      <c r="AP6" t="n">
        <v>63.85</v>
      </c>
      <c r="AQ6" t="n">
        <v>2.57</v>
      </c>
      <c r="AR6" t="n">
        <v>6.54</v>
      </c>
      <c r="AS6" t="n">
        <v>8.58</v>
      </c>
      <c r="AT6" t="n">
        <v>13135</v>
      </c>
      <c r="AU6" t="n">
        <v>1.65</v>
      </c>
      <c r="AV6" t="n">
        <v>6</v>
      </c>
      <c r="AW6" t="n">
        <v>56</v>
      </c>
      <c r="AX6" t="n">
        <v>142</v>
      </c>
      <c r="AY6" t="n">
        <v>92</v>
      </c>
      <c r="AZ6" t="n">
        <v>0.1028</v>
      </c>
      <c r="BA6" t="n">
        <v>6.65</v>
      </c>
      <c r="BB6" t="n">
        <v>3.3</v>
      </c>
      <c r="BC6" t="inlineStr">
        <is>
          <t>Stress</t>
        </is>
      </c>
    </row>
    <row r="7">
      <c r="A7" t="n">
        <v>2022</v>
      </c>
      <c r="B7" t="n">
        <v>28799</v>
      </c>
      <c r="C7" t="n">
        <v>26436</v>
      </c>
      <c r="D7" t="n">
        <v>4795</v>
      </c>
      <c r="E7" t="n">
        <v>45</v>
      </c>
      <c r="F7" t="n">
        <v>183</v>
      </c>
      <c r="G7" t="n">
        <v>1356</v>
      </c>
      <c r="H7" t="n">
        <v>1697</v>
      </c>
      <c r="I7" t="n">
        <v>533</v>
      </c>
      <c r="J7" t="n">
        <v>177</v>
      </c>
      <c r="K7" t="n">
        <v>399</v>
      </c>
      <c r="L7" t="n">
        <v>218</v>
      </c>
      <c r="M7" t="n">
        <v>2904</v>
      </c>
      <c r="N7" t="n">
        <v>706</v>
      </c>
      <c r="O7" t="n">
        <v>2173</v>
      </c>
      <c r="P7" t="n">
        <v>667.5</v>
      </c>
      <c r="Q7" t="n">
        <v>89</v>
      </c>
      <c r="R7" t="n">
        <v>21188</v>
      </c>
      <c r="S7" t="n">
        <v>21188</v>
      </c>
      <c r="T7" t="n">
        <v>887786160</v>
      </c>
      <c r="U7" t="n">
        <v>9214</v>
      </c>
      <c r="V7" t="n">
        <v>7275</v>
      </c>
      <c r="W7" t="n">
        <v>2544</v>
      </c>
      <c r="X7" t="n">
        <v>565</v>
      </c>
      <c r="Y7" t="n">
        <v>13609</v>
      </c>
      <c r="Z7" t="n">
        <v>-724</v>
      </c>
      <c r="AA7" t="n">
        <v>4610</v>
      </c>
      <c r="AB7" t="n">
        <v>23225</v>
      </c>
      <c r="AC7" t="n">
        <v>3344</v>
      </c>
      <c r="AD7" t="n">
        <v>2945</v>
      </c>
      <c r="AE7" t="n">
        <v>0.3306</v>
      </c>
      <c r="AF7" t="n">
        <v>0.9386</v>
      </c>
      <c r="AG7" t="n">
        <v>1.1815</v>
      </c>
      <c r="AH7" t="n">
        <v>1.2333</v>
      </c>
      <c r="AI7" t="n">
        <v>5574</v>
      </c>
      <c r="AJ7" t="n">
        <v>0.1935</v>
      </c>
      <c r="AK7" t="n">
        <v>0.1161</v>
      </c>
      <c r="AL7" t="n">
        <v>0.1023</v>
      </c>
      <c r="AM7" t="n">
        <v>0.1008</v>
      </c>
      <c r="AN7" t="n">
        <v>0.0755</v>
      </c>
      <c r="AO7" t="n">
        <v>465.5</v>
      </c>
      <c r="AP7" t="n">
        <v>61.87</v>
      </c>
      <c r="AQ7" t="n">
        <v>2.12</v>
      </c>
      <c r="AR7" t="n">
        <v>6.25</v>
      </c>
      <c r="AS7" t="n">
        <v>11.32</v>
      </c>
      <c r="AT7" t="n">
        <v>16578</v>
      </c>
      <c r="AU7" t="n">
        <v>1.74</v>
      </c>
      <c r="AV7" t="n">
        <v>6</v>
      </c>
      <c r="AW7" t="n">
        <v>58</v>
      </c>
      <c r="AX7" t="n">
        <v>172</v>
      </c>
      <c r="AY7" t="n">
        <v>120</v>
      </c>
      <c r="AZ7" t="n">
        <v>0.1776</v>
      </c>
      <c r="BA7" t="n">
        <v>13.51</v>
      </c>
      <c r="BB7" t="n">
        <v>2.2</v>
      </c>
      <c r="BC7" t="inlineStr">
        <is>
          <t>Watch</t>
        </is>
      </c>
    </row>
    <row r="8">
      <c r="A8" t="n">
        <v>2023</v>
      </c>
      <c r="B8" t="n">
        <v>40575</v>
      </c>
      <c r="C8" t="n">
        <v>32589</v>
      </c>
      <c r="D8" t="n">
        <v>2234</v>
      </c>
      <c r="E8" t="n">
        <v>59</v>
      </c>
      <c r="F8" t="n">
        <v>225</v>
      </c>
      <c r="G8" t="n">
        <v>1656</v>
      </c>
      <c r="H8" t="n">
        <v>2715</v>
      </c>
      <c r="I8" t="n">
        <v>683</v>
      </c>
      <c r="J8" t="n">
        <v>306</v>
      </c>
      <c r="K8" t="n">
        <v>441</v>
      </c>
      <c r="L8" t="n">
        <v>300</v>
      </c>
      <c r="M8" t="n">
        <v>4447</v>
      </c>
      <c r="N8" t="n">
        <v>1173</v>
      </c>
      <c r="O8" t="n">
        <v>3250</v>
      </c>
      <c r="P8" t="n">
        <v>890</v>
      </c>
      <c r="Q8" t="n">
        <v>89</v>
      </c>
      <c r="R8" t="n">
        <v>27020</v>
      </c>
      <c r="S8" t="n">
        <v>27020</v>
      </c>
      <c r="T8" t="n">
        <v>890000000</v>
      </c>
      <c r="U8" t="n">
        <v>11762</v>
      </c>
      <c r="V8" t="n">
        <v>9367</v>
      </c>
      <c r="W8" t="n">
        <v>2998</v>
      </c>
      <c r="X8" t="n">
        <v>674</v>
      </c>
      <c r="Y8" t="n">
        <v>16584</v>
      </c>
      <c r="Z8" t="n">
        <v>1370</v>
      </c>
      <c r="AA8" t="n">
        <v>5802</v>
      </c>
      <c r="AB8" t="n">
        <v>32295</v>
      </c>
      <c r="AC8" t="n">
        <v>4882</v>
      </c>
      <c r="AD8" t="n">
        <v>4441</v>
      </c>
      <c r="AE8" t="n">
        <v>0.4089</v>
      </c>
      <c r="AF8" t="n">
        <v>0.4599</v>
      </c>
      <c r="AG8" t="n">
        <v>0.508</v>
      </c>
      <c r="AH8" t="n">
        <v>0.4956</v>
      </c>
      <c r="AI8" t="n">
        <v>8280</v>
      </c>
      <c r="AJ8" t="n">
        <v>0.2041</v>
      </c>
      <c r="AK8" t="n">
        <v>0.1203</v>
      </c>
      <c r="AL8" t="n">
        <v>0.1095</v>
      </c>
      <c r="AM8" t="n">
        <v>0.1096</v>
      </c>
      <c r="AN8" t="n">
        <v>0.0801</v>
      </c>
      <c r="AO8" t="n">
        <v>619.5</v>
      </c>
      <c r="AP8" t="n">
        <v>65.5</v>
      </c>
      <c r="AQ8" t="n">
        <v>2.45</v>
      </c>
      <c r="AR8" t="n">
        <v>6.99</v>
      </c>
      <c r="AS8" t="n">
        <v>13.53</v>
      </c>
      <c r="AT8" t="n">
        <v>21218</v>
      </c>
      <c r="AU8" t="n">
        <v>1.91</v>
      </c>
      <c r="AV8" t="n">
        <v>6</v>
      </c>
      <c r="AW8" t="n">
        <v>52</v>
      </c>
      <c r="AX8" t="n">
        <v>149</v>
      </c>
      <c r="AY8" t="n">
        <v>103</v>
      </c>
      <c r="AZ8" t="n">
        <v>0.2093</v>
      </c>
      <c r="BA8" t="n">
        <v>14.8</v>
      </c>
      <c r="BB8" t="n">
        <v>1.9</v>
      </c>
      <c r="BC8" t="inlineStr">
        <is>
          <t>Watch</t>
        </is>
      </c>
    </row>
    <row r="9">
      <c r="A9" t="n">
        <v>2024</v>
      </c>
      <c r="B9" t="n">
        <v>51084</v>
      </c>
      <c r="C9" t="n">
        <v>42103</v>
      </c>
      <c r="D9" t="n">
        <v>2671</v>
      </c>
      <c r="E9" t="n">
        <v>71</v>
      </c>
      <c r="F9" t="n">
        <v>286</v>
      </c>
      <c r="G9" t="n">
        <v>1875</v>
      </c>
      <c r="H9" t="n">
        <v>3249</v>
      </c>
      <c r="I9" t="n">
        <v>879</v>
      </c>
      <c r="J9" t="n">
        <v>534</v>
      </c>
      <c r="K9" t="n">
        <v>584</v>
      </c>
      <c r="L9" t="n">
        <v>619</v>
      </c>
      <c r="M9" t="n">
        <v>4623</v>
      </c>
      <c r="N9" t="n">
        <v>1127</v>
      </c>
      <c r="O9" t="n">
        <v>3496</v>
      </c>
      <c r="P9" t="n">
        <v>979</v>
      </c>
      <c r="Q9" t="n">
        <v>89</v>
      </c>
      <c r="R9" t="n">
        <v>31547</v>
      </c>
      <c r="S9" t="n">
        <v>31547</v>
      </c>
      <c r="T9" t="n">
        <v>890000000</v>
      </c>
      <c r="U9" t="n">
        <v>9304</v>
      </c>
      <c r="V9" t="n">
        <v>15528</v>
      </c>
      <c r="W9" t="n">
        <v>3709</v>
      </c>
      <c r="X9" t="n">
        <v>1018</v>
      </c>
      <c r="Y9" t="n">
        <v>19051</v>
      </c>
      <c r="Z9" t="n">
        <v>1695</v>
      </c>
      <c r="AA9" t="n">
        <v>6626</v>
      </c>
      <c r="AB9" t="n">
        <v>41664</v>
      </c>
      <c r="AC9" t="n">
        <v>5292</v>
      </c>
      <c r="AD9" t="n">
        <v>4708</v>
      </c>
      <c r="AE9" t="n">
        <v>0.259</v>
      </c>
      <c r="AF9" t="n">
        <v>0.08400000000000001</v>
      </c>
      <c r="AG9" t="n">
        <v>0.0601</v>
      </c>
      <c r="AH9" t="n">
        <v>0.0757</v>
      </c>
      <c r="AI9" t="n">
        <v>9420</v>
      </c>
      <c r="AJ9" t="n">
        <v>0.1844</v>
      </c>
      <c r="AK9" t="n">
        <v>0.1036</v>
      </c>
      <c r="AL9" t="n">
        <v>0.0922</v>
      </c>
      <c r="AM9" t="n">
        <v>0.0905</v>
      </c>
      <c r="AN9" t="n">
        <v>0.0684</v>
      </c>
      <c r="AO9" t="n">
        <v>846</v>
      </c>
      <c r="AP9" t="n">
        <v>60.38</v>
      </c>
      <c r="AQ9" t="n">
        <v>2.68</v>
      </c>
      <c r="AR9" t="n">
        <v>7.71</v>
      </c>
      <c r="AS9" t="n">
        <v>13.77</v>
      </c>
      <c r="AT9" t="n">
        <v>24921</v>
      </c>
      <c r="AU9" t="n">
        <v>2.05</v>
      </c>
      <c r="AV9" t="n">
        <v>6</v>
      </c>
      <c r="AW9" t="n">
        <v>47</v>
      </c>
      <c r="AX9" t="n">
        <v>136</v>
      </c>
      <c r="AY9" t="n">
        <v>95</v>
      </c>
      <c r="AZ9" t="n">
        <v>0.1889</v>
      </c>
      <c r="BA9" t="n">
        <v>7.61</v>
      </c>
      <c r="BB9" t="n">
        <v>2.9</v>
      </c>
      <c r="BC9" t="inlineStr">
        <is>
          <t>Watch</t>
        </is>
      </c>
    </row>
    <row r="10">
      <c r="A10" t="n">
        <v>2025</v>
      </c>
      <c r="B10" t="n">
        <v>60456</v>
      </c>
      <c r="C10" t="n">
        <v>55271</v>
      </c>
      <c r="D10" t="n">
        <v>7815</v>
      </c>
      <c r="E10" t="n">
        <v>78</v>
      </c>
      <c r="F10" t="n">
        <v>326</v>
      </c>
      <c r="G10" t="n">
        <v>2164</v>
      </c>
      <c r="H10" t="n">
        <v>3494</v>
      </c>
      <c r="I10" t="n">
        <v>1244</v>
      </c>
      <c r="J10" t="n">
        <v>487</v>
      </c>
      <c r="K10" t="n">
        <v>693</v>
      </c>
      <c r="L10" t="n">
        <v>953</v>
      </c>
      <c r="M10" t="n">
        <v>4535</v>
      </c>
      <c r="N10" t="n">
        <v>1198</v>
      </c>
      <c r="O10" t="n">
        <v>3337</v>
      </c>
      <c r="P10" t="n">
        <v>979</v>
      </c>
      <c r="Q10" t="n">
        <v>89</v>
      </c>
      <c r="R10" t="n">
        <v>40645</v>
      </c>
      <c r="S10" t="n">
        <v>40645</v>
      </c>
      <c r="T10" t="n">
        <v>890000000</v>
      </c>
      <c r="U10" t="n">
        <v>11535</v>
      </c>
      <c r="V10" t="n">
        <v>20777</v>
      </c>
      <c r="W10" t="n">
        <v>4062</v>
      </c>
      <c r="X10" t="n">
        <v>1068</v>
      </c>
      <c r="Y10" t="n">
        <v>28184</v>
      </c>
      <c r="Z10" t="n">
        <v>-541</v>
      </c>
      <c r="AA10" t="n">
        <v>8244</v>
      </c>
      <c r="AB10" t="n">
        <v>50024</v>
      </c>
      <c r="AC10" t="n">
        <v>5694</v>
      </c>
      <c r="AD10" t="n">
        <v>5001</v>
      </c>
      <c r="AE10" t="n">
        <v>0.1835</v>
      </c>
      <c r="AF10" t="n">
        <v>0.076</v>
      </c>
      <c r="AG10" t="n">
        <v>0.0622</v>
      </c>
      <c r="AH10" t="n">
        <v>-0.0455</v>
      </c>
      <c r="AI10" t="n">
        <v>10432</v>
      </c>
      <c r="AJ10" t="n">
        <v>0.1726</v>
      </c>
      <c r="AK10" t="n">
        <v>0.09420000000000001</v>
      </c>
      <c r="AL10" t="n">
        <v>0.0827</v>
      </c>
      <c r="AM10" t="n">
        <v>0.075</v>
      </c>
      <c r="AN10" t="n">
        <v>0.0552</v>
      </c>
      <c r="AO10" t="n">
        <v>1043</v>
      </c>
      <c r="AP10" t="n">
        <v>57.96</v>
      </c>
      <c r="AQ10" t="n">
        <v>2.15</v>
      </c>
      <c r="AR10" t="n">
        <v>7.33</v>
      </c>
      <c r="AS10" t="n">
        <v>14.88</v>
      </c>
      <c r="AT10" t="n">
        <v>32401</v>
      </c>
      <c r="AU10" t="n">
        <v>1.87</v>
      </c>
      <c r="AV10" t="n">
        <v>6</v>
      </c>
      <c r="AW10" t="n">
        <v>50</v>
      </c>
      <c r="AX10" t="n">
        <v>170</v>
      </c>
      <c r="AY10" t="n">
        <v>126</v>
      </c>
      <c r="AZ10" t="n">
        <v>0.1543</v>
      </c>
      <c r="BA10" t="n">
        <v>5.25</v>
      </c>
      <c r="BB10" t="n">
        <v>3.6</v>
      </c>
      <c r="BC10" t="inlineStr">
        <is>
          <t>Stress</t>
        </is>
      </c>
    </row>
    <row r="11">
      <c r="A11" t="n">
        <v>2026</v>
      </c>
      <c r="B11" t="n">
        <v>87584</v>
      </c>
      <c r="C11" t="n">
        <v>80243</v>
      </c>
      <c r="D11" t="n">
        <v>9936</v>
      </c>
      <c r="E11" t="n">
        <v>87</v>
      </c>
      <c r="F11" t="n">
        <v>375</v>
      </c>
      <c r="G11" t="n">
        <v>2692</v>
      </c>
      <c r="H11" t="n">
        <v>4185</v>
      </c>
      <c r="I11" t="n">
        <v>1581</v>
      </c>
      <c r="J11" t="n">
        <v>450</v>
      </c>
      <c r="K11" t="n">
        <v>826</v>
      </c>
      <c r="L11" t="n">
        <v>1180</v>
      </c>
      <c r="M11" t="n">
        <v>6801</v>
      </c>
      <c r="N11" t="n">
        <v>1728</v>
      </c>
      <c r="O11" t="n">
        <v>5073</v>
      </c>
      <c r="P11" t="n">
        <v>1335</v>
      </c>
      <c r="Q11" t="n">
        <v>89</v>
      </c>
      <c r="R11" t="n">
        <v>60561</v>
      </c>
      <c r="S11" t="n">
        <v>60561</v>
      </c>
      <c r="T11" t="n">
        <v>890000000</v>
      </c>
      <c r="U11" t="n">
        <v>15614</v>
      </c>
      <c r="V11" t="n">
        <v>30621</v>
      </c>
      <c r="W11" t="n">
        <v>6878</v>
      </c>
      <c r="X11" t="n">
        <v>916</v>
      </c>
      <c r="Y11" t="n">
        <v>42743</v>
      </c>
      <c r="Z11" t="n">
        <v>5590</v>
      </c>
      <c r="AA11" t="n">
        <v>14237</v>
      </c>
      <c r="AB11" t="n">
        <v>73461</v>
      </c>
      <c r="AC11" t="n">
        <v>8357</v>
      </c>
      <c r="AD11" t="n">
        <v>7531</v>
      </c>
      <c r="AE11" t="n">
        <v>0.4487</v>
      </c>
      <c r="AF11" t="n">
        <v>0.4677</v>
      </c>
      <c r="AG11" t="n">
        <v>0.5059</v>
      </c>
      <c r="AH11" t="n">
        <v>0.5202</v>
      </c>
      <c r="AI11" t="n">
        <v>14123</v>
      </c>
      <c r="AJ11" t="n">
        <v>0.1613</v>
      </c>
      <c r="AK11" t="n">
        <v>0.0954</v>
      </c>
      <c r="AL11" t="n">
        <v>0.08599999999999999</v>
      </c>
      <c r="AM11" t="n">
        <v>0.07770000000000001</v>
      </c>
      <c r="AN11" t="n">
        <v>0.0579</v>
      </c>
      <c r="AO11" t="n">
        <v>992</v>
      </c>
      <c r="AP11" t="n">
        <v>88.29000000000001</v>
      </c>
      <c r="AQ11" t="n">
        <v>2.05</v>
      </c>
      <c r="AR11" t="n">
        <v>6.15</v>
      </c>
      <c r="AS11" t="n">
        <v>12.73</v>
      </c>
      <c r="AT11" t="n">
        <v>46324</v>
      </c>
      <c r="AU11" t="n">
        <v>1.89</v>
      </c>
      <c r="AV11" t="n">
        <v>4</v>
      </c>
      <c r="AW11" t="n">
        <v>59</v>
      </c>
      <c r="AX11" t="n">
        <v>178</v>
      </c>
      <c r="AY11" t="n">
        <v>123</v>
      </c>
      <c r="AZ11" t="n">
        <v>0.1626</v>
      </c>
      <c r="BA11" t="n">
        <v>6.38</v>
      </c>
      <c r="BB11" t="n">
        <v>3.7</v>
      </c>
      <c r="BC11" t="inlineStr">
        <is>
          <t>Stress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sales_growth</t>
        </is>
      </c>
      <c r="C1" t="inlineStr">
        <is>
          <t>ebitda_margin</t>
        </is>
      </c>
      <c r="D1" t="inlineStr">
        <is>
          <t>net_margin</t>
        </is>
      </c>
      <c r="E1" t="inlineStr">
        <is>
          <t>debtor_turnover</t>
        </is>
      </c>
      <c r="F1" t="inlineStr">
        <is>
          <t>roce</t>
        </is>
      </c>
    </row>
    <row r="2">
      <c r="A2" t="inlineStr">
        <is>
          <t>mean</t>
        </is>
      </c>
      <c r="B2" t="n">
        <v>0.2406</v>
      </c>
      <c r="C2" t="n">
        <v>0.1017</v>
      </c>
      <c r="D2" t="n">
        <v>0.0648</v>
      </c>
      <c r="E2" t="n">
        <v>63.8478</v>
      </c>
      <c r="F2" t="n">
        <v>0.1814</v>
      </c>
    </row>
    <row r="3">
      <c r="A3" t="inlineStr">
        <is>
          <t>median</t>
        </is>
      </c>
      <c r="B3" t="n">
        <v>0.227</v>
      </c>
      <c r="C3" t="n">
        <v>0.1014</v>
      </c>
      <c r="D3" t="n">
        <v>0.0693</v>
      </c>
      <c r="E3" t="n">
        <v>61.87</v>
      </c>
      <c r="F3" t="n">
        <v>0.1833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workbookViewId="0">
      <selection activeCell="N15" sqref="N15"/>
    </sheetView>
  </sheetViews>
  <sheetFormatPr baseColWidth="8" defaultRowHeight="14.4"/>
  <sheetData>
    <row r="1" ht="25.8" customHeight="1" s="70">
      <c r="A1" s="68" t="inlineStr">
        <is>
          <t xml:space="preserve">points to remember </t>
        </is>
      </c>
    </row>
    <row r="3">
      <c r="A3" s="47" t="n">
        <v>1</v>
      </c>
      <c r="B3" s="71" t="inlineStr">
        <is>
          <t xml:space="preserve">In Week 4 day 1 - while calculating net income add other incomes also </t>
        </is>
      </c>
    </row>
    <row r="9">
      <c r="A9" s="16" t="inlineStr">
        <is>
          <t xml:space="preserve">Questions </t>
        </is>
      </c>
    </row>
    <row r="11">
      <c r="A11" s="71" t="inlineStr">
        <is>
          <t xml:space="preserve">if  I added the  other income value with sales in historical fs , then why I need to do anything in week 4 </t>
        </is>
      </c>
    </row>
  </sheetData>
  <mergeCells count="2">
    <mergeCell ref="B3:H3"/>
    <mergeCell ref="A11:J1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ftt</dc:creator>
  <dcterms:created xsi:type="dcterms:W3CDTF">2024-02-16T07:13:24Z</dcterms:created>
  <dcterms:modified xsi:type="dcterms:W3CDTF">2026-08-09T18:20:20Z</dcterms:modified>
  <cp:lastModifiedBy>Abhay Moudgill</cp:lastModifiedBy>
</cp:coreProperties>
</file>